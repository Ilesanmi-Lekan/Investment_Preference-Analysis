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ilesanmiii\Documents\"/>
    </mc:Choice>
  </mc:AlternateContent>
  <xr:revisionPtr revIDLastSave="0" documentId="13_ncr:1_{0B195DB9-27B9-4960-B43D-1BF827C6A23A}" xr6:coauthVersionLast="47" xr6:coauthVersionMax="47" xr10:uidLastSave="{00000000-0000-0000-0000-000000000000}"/>
  <bookViews>
    <workbookView xWindow="-120" yWindow="-120" windowWidth="29040" windowHeight="15840" activeTab="2" xr2:uid="{B0D4DFF7-35AE-467A-9E66-218F8CE488E8}"/>
  </bookViews>
  <sheets>
    <sheet name="Investment Preference Data" sheetId="2" r:id="rId1"/>
    <sheet name="Calculation" sheetId="3" r:id="rId2"/>
    <sheet name="Visual" sheetId="1" r:id="rId3"/>
  </sheets>
  <definedNames>
    <definedName name="Age">Calculation!$H$8</definedName>
    <definedName name="Bonds">Calculation!$I$4</definedName>
    <definedName name="Day">Calculation!$K$8</definedName>
    <definedName name="Debentures">Calculation!$G$4</definedName>
    <definedName name="EM">Calculation!$D$4</definedName>
    <definedName name="ExternalData_1" localSheetId="0" hidden="1">'Investment Preference Data'!$A$1:$Z$41</definedName>
    <definedName name="Fd">Calculation!$K$4</definedName>
    <definedName name="gold">Calculation!$D$8</definedName>
    <definedName name="investors">Calculation!$F$8</definedName>
    <definedName name="MF">Calculation!$A$4</definedName>
    <definedName name="PPF">Calculation!$A$8</definedName>
    <definedName name="Slicer_Invest_Monitor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0689BC-87CE-4CEE-9CA1-D7389A0D222F}" keepAlive="1" name="Query - Investment Preference Data" description="Connection to the 'Investment Preference Data' query in the workbook." type="5" refreshedVersion="8" background="1" saveData="1">
    <dbPr connection="Provider=Microsoft.Mashup.OleDb.1;Data Source=$Workbook$;Location=&quot;Investment Preference Data&quot;;Extended Properties=&quot;&quot;" command="SELECT * FROM [Investment Preference Data]"/>
  </connection>
</connections>
</file>

<file path=xl/sharedStrings.xml><?xml version="1.0" encoding="utf-8"?>
<sst xmlns="http://schemas.openxmlformats.org/spreadsheetml/2006/main" count="811" uniqueCount="100">
  <si>
    <t>gender</t>
  </si>
  <si>
    <t>age</t>
  </si>
  <si>
    <t>Age Group</t>
  </si>
  <si>
    <t>Investment_Avenues</t>
  </si>
  <si>
    <t>Mutual_Funds</t>
  </si>
  <si>
    <t>Equity_Market</t>
  </si>
  <si>
    <t>Debentures</t>
  </si>
  <si>
    <t>Government_Bonds</t>
  </si>
  <si>
    <t>Fixed_Deposits</t>
  </si>
  <si>
    <t>PPF</t>
  </si>
  <si>
    <t>Gold</t>
  </si>
  <si>
    <t>Stock_Marktet</t>
  </si>
  <si>
    <t>Factor</t>
  </si>
  <si>
    <t>Objective</t>
  </si>
  <si>
    <t>Purpose</t>
  </si>
  <si>
    <t>Duration</t>
  </si>
  <si>
    <t xml:space="preserve">Duration range </t>
  </si>
  <si>
    <t>Invest_Monitor</t>
  </si>
  <si>
    <t>Expect</t>
  </si>
  <si>
    <t>Avenue</t>
  </si>
  <si>
    <t>What are your savings objectives?</t>
  </si>
  <si>
    <t>Reason_Equity</t>
  </si>
  <si>
    <t>Reason_Mutual</t>
  </si>
  <si>
    <t>Reason_Bonds</t>
  </si>
  <si>
    <t>Reason_FD</t>
  </si>
  <si>
    <t>Source</t>
  </si>
  <si>
    <t>Female</t>
  </si>
  <si>
    <t>Experienced Adulthood</t>
  </si>
  <si>
    <t>Yes</t>
  </si>
  <si>
    <t>Returns</t>
  </si>
  <si>
    <t>Capital Appreciation</t>
  </si>
  <si>
    <t>Wealth Creation</t>
  </si>
  <si>
    <t>1-3 years</t>
  </si>
  <si>
    <t>Short term</t>
  </si>
  <si>
    <t>Monthly</t>
  </si>
  <si>
    <t>20%-30%</t>
  </si>
  <si>
    <t>Mutual Fund</t>
  </si>
  <si>
    <t>Retirement Plan</t>
  </si>
  <si>
    <t>Better Returns</t>
  </si>
  <si>
    <t>Safe Investment</t>
  </si>
  <si>
    <t>Fixed Returns</t>
  </si>
  <si>
    <t>Newspapers and Magazines</t>
  </si>
  <si>
    <t>Early Adulthood</t>
  </si>
  <si>
    <t>No</t>
  </si>
  <si>
    <t>Locking Period</t>
  </si>
  <si>
    <t>6 years</t>
  </si>
  <si>
    <t>Long term</t>
  </si>
  <si>
    <t>Weekly</t>
  </si>
  <si>
    <t>Health Care</t>
  </si>
  <si>
    <t>Dividend</t>
  </si>
  <si>
    <t>High Interest Rates</t>
  </si>
  <si>
    <t>Financial Consultants</t>
  </si>
  <si>
    <t>Male</t>
  </si>
  <si>
    <t>Established Adulthood</t>
  </si>
  <si>
    <t>3-5 years</t>
  </si>
  <si>
    <t>Mid term</t>
  </si>
  <si>
    <t>Daily</t>
  </si>
  <si>
    <t>Equity</t>
  </si>
  <si>
    <t>Tax Benefits</t>
  </si>
  <si>
    <t>Assured Returns</t>
  </si>
  <si>
    <t>Television</t>
  </si>
  <si>
    <t>Income</t>
  </si>
  <si>
    <t>Less than 1 year</t>
  </si>
  <si>
    <t>Low term</t>
  </si>
  <si>
    <t>10%-20%</t>
  </si>
  <si>
    <t>Fund Diversification</t>
  </si>
  <si>
    <t>Tax Incentives</t>
  </si>
  <si>
    <t>Internet</t>
  </si>
  <si>
    <t>Risk Free</t>
  </si>
  <si>
    <t>Risk</t>
  </si>
  <si>
    <t>30%-40%</t>
  </si>
  <si>
    <t>Liquidity</t>
  </si>
  <si>
    <t>Growth</t>
  </si>
  <si>
    <t>Savings for Future</t>
  </si>
  <si>
    <t>Fixed Deposits</t>
  </si>
  <si>
    <t>Education</t>
  </si>
  <si>
    <t>Public Provident Fund</t>
  </si>
  <si>
    <t>Row Labels</t>
  </si>
  <si>
    <t>Count of gender</t>
  </si>
  <si>
    <t>Sum of Mutual_Funds</t>
  </si>
  <si>
    <t>Mutual Funds</t>
  </si>
  <si>
    <t>Sum of Equity_Market</t>
  </si>
  <si>
    <t>Equity Market</t>
  </si>
  <si>
    <t>Sum of Debentures</t>
  </si>
  <si>
    <t>Sum of Government_Bonds</t>
  </si>
  <si>
    <t>Govt Bonds</t>
  </si>
  <si>
    <t>Sum of Fixed_Deposits</t>
  </si>
  <si>
    <t>Sum of PPF</t>
  </si>
  <si>
    <t>Sum of Gold</t>
  </si>
  <si>
    <t>Column Labels</t>
  </si>
  <si>
    <t>Count of Age Group</t>
  </si>
  <si>
    <t>No. of Investors</t>
  </si>
  <si>
    <t>Avenue by Gender</t>
  </si>
  <si>
    <t>Investment by age group</t>
  </si>
  <si>
    <t>Primary factor for investment</t>
  </si>
  <si>
    <t>Objectives of duration</t>
  </si>
  <si>
    <t>Expected % of Mutual funds</t>
  </si>
  <si>
    <t>Sum of Investors</t>
  </si>
  <si>
    <t>Average of age</t>
  </si>
  <si>
    <t>Avg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</si>
</sst>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164" formatCode="_-[$$-409]* #,##0.00_ ;_-[$$-409]* \-#,##0.00\ ;_-[$$-409]* &quot;-&quot;??_ ;_-@_ "/>
    <numFmt numFmtId="165" formatCode="_-[$$-409]* #,##0_ ;_-[$$-409]* \-#,##0\ ;_-[$$-409]* &quot;-&quot;??_ ;_-@_ "/>
    <numFmt numFmtId="166" formatCode="\$0\ "/>
    <numFmt numFmtId="167" formatCode="\$0"/>
    <numFmt numFmtId="168" formatCode="[$-F800]dddd\,\ mmmm\ dd\,\ yyyy"/>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applyNumberFormat="1"/>
    <xf numFmtId="0" fontId="0" fillId="2" borderId="0" xfId="0" applyFill="1"/>
    <xf numFmtId="165" fontId="0" fillId="0" borderId="0" xfId="0" applyNumberFormat="1"/>
    <xf numFmtId="0" fontId="0" fillId="0" borderId="0" xfId="0" pivotButton="1" applyNumberFormat="1"/>
    <xf numFmtId="0" fontId="0" fillId="0" borderId="0" xfId="0" applyNumberFormat="1" applyAlignment="1">
      <alignment horizontal="left"/>
    </xf>
    <xf numFmtId="10" fontId="0" fillId="0" borderId="0" xfId="0" applyNumberFormat="1"/>
    <xf numFmtId="1" fontId="0" fillId="0" borderId="0" xfId="0" applyNumberFormat="1"/>
    <xf numFmtId="164" fontId="0" fillId="0" borderId="0" xfId="1" applyNumberFormat="1" applyFont="1"/>
    <xf numFmtId="166" fontId="0" fillId="0" borderId="0" xfId="0" applyNumberFormat="1"/>
    <xf numFmtId="0" fontId="0" fillId="3" borderId="0" xfId="0" applyFill="1"/>
    <xf numFmtId="167" fontId="0" fillId="0" borderId="0" xfId="0" applyNumberFormat="1"/>
    <xf numFmtId="168" fontId="0" fillId="0" borderId="0" xfId="0" applyNumberFormat="1"/>
  </cellXfs>
  <cellStyles count="2">
    <cellStyle name="Currency" xfId="1" builtinId="4"/>
    <cellStyle name="Normal" xfId="0" builtinId="0"/>
  </cellStyles>
  <dxfs count="2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 ##0"/>
    </dxf>
    <dxf>
      <numFmt numFmtId="165"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 ##0"/>
    </dxf>
    <dxf>
      <numFmt numFmtId="165"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 ##0"/>
    </dxf>
    <dxf>
      <numFmt numFmtId="165"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 ##0"/>
    </dxf>
    <dxf>
      <numFmt numFmtId="165"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65" formatCode="_-[$$-409]* #,##0_ ;_-[$$-409]* \-#,##0\ ;_-[$$-409]* &quot;-&quot;??_ ;_-@_ "/>
    </dxf>
    <dxf>
      <numFmt numFmtId="0" formatCode="General"/>
    </dxf>
    <dxf>
      <numFmt numFmtId="166" formatCode="\$0\ "/>
    </dxf>
    <dxf>
      <numFmt numFmtId="167" formatCode="\$0"/>
    </dxf>
    <dxf>
      <numFmt numFmtId="165" formatCode="_-[$$-409]* #,##0_ ;_-[$$-409]* \-#,##0\ ;_-[$$-409]* &quot;-&quot;??_ ;_-@_ "/>
    </dxf>
    <dxf>
      <numFmt numFmtId="165" formatCode="_-[$$-409]* #,##0_ ;_-[$$-409]* \-#,##0\ ;_-[$$-409]* &quot;-&quot;??_ ;_-@_ "/>
    </dxf>
    <dxf>
      <numFmt numFmtId="169" formatCode="\$#\ ##0"/>
    </dxf>
    <dxf>
      <numFmt numFmtId="1" formatCode="0"/>
    </dxf>
    <dxf>
      <numFmt numFmtId="165"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b val="0"/>
        <i val="0"/>
        <color theme="0" tint="-0.34998626667073579"/>
        <name val="Aptos Display"/>
        <family val="2"/>
        <scheme val="major"/>
      </font>
      <fill>
        <patternFill>
          <bgColor rgb="FF101323"/>
        </patternFill>
      </fill>
      <border diagonalUp="0" diagonalDown="0">
        <left/>
        <right/>
        <top/>
        <bottom/>
        <vertical/>
        <horizontal/>
      </border>
    </dxf>
  </dxfs>
  <tableStyles count="1" defaultTableStyle="TableStyleMedium2" defaultPivotStyle="PivotStyleLight16">
    <tableStyle name="SlicerStyleLight1 2" pivot="0" table="0" count="10" xr9:uid="{C0073815-6ACE-4C59-A666-3B3B6220FF63}">
      <tableStyleElement type="wholeTable" dxfId="223"/>
      <tableStyleElement type="headerRow" dxfId="222"/>
    </tableStyle>
  </tableStyles>
  <colors>
    <mruColors>
      <color rgb="FF101323"/>
      <color rgb="FF04757F"/>
      <color rgb="FF342671"/>
      <color rgb="FF471A76"/>
      <color rgb="FF323440"/>
      <color rgb="FF171A30"/>
      <color rgb="FF16192E"/>
    </mruColors>
  </colors>
  <extLst>
    <ext xmlns:x14="http://schemas.microsoft.com/office/spreadsheetml/2009/9/main" uri="{46F421CA-312F-682f-3DD2-61675219B42D}">
      <x14:dxfs count="8">
        <dxf>
          <font>
            <color rgb="FF000000"/>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4" tint="0.5999633777886288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4" tint="0.59996337778862885"/>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59996337778862885"/>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NEW.xlsx]Calculation!PivotTable8</c:name>
    <c:fmtId val="5"/>
  </c:pivotSource>
  <c:chart>
    <c:autoTitleDeleted val="0"/>
    <c:pivotFmts>
      <c:pivotFmt>
        <c:idx val="0"/>
        <c:spPr>
          <a:solidFill>
            <a:srgbClr val="3426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426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757F">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Calculation!$B$15:$B$16</c:f>
              <c:strCache>
                <c:ptCount val="1"/>
                <c:pt idx="0">
                  <c:v>Female</c:v>
                </c:pt>
              </c:strCache>
            </c:strRef>
          </c:tx>
          <c:spPr>
            <a:solidFill>
              <a:srgbClr val="04757F">
                <a:alpha val="50000"/>
              </a:srgbClr>
            </a:solidFill>
            <a:ln>
              <a:noFill/>
            </a:ln>
            <a:effectLst/>
          </c:spPr>
          <c:invertIfNegative val="0"/>
          <c:cat>
            <c:strRef>
              <c:f>Calculation!$A$17:$A$20</c:f>
              <c:strCache>
                <c:ptCount val="4"/>
                <c:pt idx="0">
                  <c:v>Mutual Fund</c:v>
                </c:pt>
                <c:pt idx="1">
                  <c:v>Equity</c:v>
                </c:pt>
                <c:pt idx="2">
                  <c:v>Fixed Deposits</c:v>
                </c:pt>
                <c:pt idx="3">
                  <c:v>Public Provident Fund</c:v>
                </c:pt>
              </c:strCache>
            </c:strRef>
          </c:cat>
          <c:val>
            <c:numRef>
              <c:f>Calculation!$B$17:$B$20</c:f>
              <c:numCache>
                <c:formatCode>General</c:formatCode>
                <c:ptCount val="4"/>
                <c:pt idx="0">
                  <c:v>8</c:v>
                </c:pt>
                <c:pt idx="1">
                  <c:v>3</c:v>
                </c:pt>
                <c:pt idx="2">
                  <c:v>3</c:v>
                </c:pt>
                <c:pt idx="3">
                  <c:v>1</c:v>
                </c:pt>
              </c:numCache>
            </c:numRef>
          </c:val>
          <c:extLst>
            <c:ext xmlns:c16="http://schemas.microsoft.com/office/drawing/2014/chart" uri="{C3380CC4-5D6E-409C-BE32-E72D297353CC}">
              <c16:uniqueId val="{00000000-8C29-4BC1-9F19-78C5CE5B3069}"/>
            </c:ext>
          </c:extLst>
        </c:ser>
        <c:ser>
          <c:idx val="1"/>
          <c:order val="1"/>
          <c:tx>
            <c:strRef>
              <c:f>Calculation!$C$15:$C$16</c:f>
              <c:strCache>
                <c:ptCount val="1"/>
                <c:pt idx="0">
                  <c:v>Male</c:v>
                </c:pt>
              </c:strCache>
            </c:strRef>
          </c:tx>
          <c:spPr>
            <a:solidFill>
              <a:srgbClr val="04757F"/>
            </a:solidFill>
            <a:ln>
              <a:noFill/>
            </a:ln>
            <a:effectLst/>
          </c:spPr>
          <c:invertIfNegative val="0"/>
          <c:cat>
            <c:strRef>
              <c:f>Calculation!$A$17:$A$20</c:f>
              <c:strCache>
                <c:ptCount val="4"/>
                <c:pt idx="0">
                  <c:v>Mutual Fund</c:v>
                </c:pt>
                <c:pt idx="1">
                  <c:v>Equity</c:v>
                </c:pt>
                <c:pt idx="2">
                  <c:v>Fixed Deposits</c:v>
                </c:pt>
                <c:pt idx="3">
                  <c:v>Public Provident Fund</c:v>
                </c:pt>
              </c:strCache>
            </c:strRef>
          </c:cat>
          <c:val>
            <c:numRef>
              <c:f>Calculation!$C$17:$C$20</c:f>
              <c:numCache>
                <c:formatCode>General</c:formatCode>
                <c:ptCount val="4"/>
                <c:pt idx="0">
                  <c:v>10</c:v>
                </c:pt>
                <c:pt idx="1">
                  <c:v>7</c:v>
                </c:pt>
                <c:pt idx="2">
                  <c:v>6</c:v>
                </c:pt>
                <c:pt idx="3">
                  <c:v>2</c:v>
                </c:pt>
              </c:numCache>
            </c:numRef>
          </c:val>
          <c:extLst>
            <c:ext xmlns:c16="http://schemas.microsoft.com/office/drawing/2014/chart" uri="{C3380CC4-5D6E-409C-BE32-E72D297353CC}">
              <c16:uniqueId val="{00000001-8C29-4BC1-9F19-78C5CE5B3069}"/>
            </c:ext>
          </c:extLst>
        </c:ser>
        <c:dLbls>
          <c:showLegendKey val="0"/>
          <c:showVal val="0"/>
          <c:showCatName val="0"/>
          <c:showSerName val="0"/>
          <c:showPercent val="0"/>
          <c:showBubbleSize val="0"/>
        </c:dLbls>
        <c:gapWidth val="157"/>
        <c:overlap val="45"/>
        <c:axId val="1724643680"/>
        <c:axId val="1724644160"/>
      </c:barChart>
      <c:catAx>
        <c:axId val="17246436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1724644160"/>
        <c:crosses val="autoZero"/>
        <c:auto val="1"/>
        <c:lblAlgn val="ctr"/>
        <c:lblOffset val="100"/>
        <c:noMultiLvlLbl val="0"/>
      </c:catAx>
      <c:valAx>
        <c:axId val="172464416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724643680"/>
        <c:crosses val="autoZero"/>
        <c:crossBetween val="between"/>
      </c:valAx>
      <c:spPr>
        <a:noFill/>
        <a:ln>
          <a:noFill/>
        </a:ln>
        <a:effectLst/>
      </c:spPr>
    </c:plotArea>
    <c:legend>
      <c:legendPos val="t"/>
      <c:layout>
        <c:manualLayout>
          <c:xMode val="edge"/>
          <c:yMode val="edge"/>
          <c:x val="0.75717315366481264"/>
          <c:y val="2.7777648129565239E-2"/>
          <c:w val="0.2130107174103236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NEW.xlsx]Calculation!PivotTable10</c:name>
    <c:fmtId val="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4757F"/>
          </a:solidFill>
          <a:ln w="19050">
            <a:noFill/>
          </a:ln>
          <a:effectLst/>
        </c:spPr>
      </c:pivotFmt>
      <c:pivotFmt>
        <c:idx val="2"/>
        <c:spPr>
          <a:solidFill>
            <a:srgbClr val="04757F">
              <a:alpha val="80000"/>
            </a:srgbClr>
          </a:solidFill>
          <a:ln w="19050">
            <a:noFill/>
          </a:ln>
          <a:effectLst/>
        </c:spPr>
      </c:pivotFmt>
      <c:pivotFmt>
        <c:idx val="3"/>
        <c:spPr>
          <a:solidFill>
            <a:srgbClr val="04757F">
              <a:alpha val="50000"/>
            </a:srgb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4757F">
              <a:alpha val="80000"/>
            </a:srgbClr>
          </a:solidFill>
          <a:ln w="19050">
            <a:noFill/>
          </a:ln>
          <a:effectLst/>
        </c:spPr>
      </c:pivotFmt>
      <c:pivotFmt>
        <c:idx val="6"/>
        <c:spPr>
          <a:solidFill>
            <a:srgbClr val="04757F"/>
          </a:solidFill>
          <a:ln w="19050">
            <a:noFill/>
          </a:ln>
          <a:effectLst/>
        </c:spPr>
      </c:pivotFmt>
      <c:pivotFmt>
        <c:idx val="7"/>
        <c:spPr>
          <a:solidFill>
            <a:srgbClr val="04757F">
              <a:alpha val="50000"/>
            </a:srgbClr>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4757F">
              <a:alpha val="60000"/>
            </a:srgbClr>
          </a:solidFill>
          <a:ln w="19050">
            <a:noFill/>
          </a:ln>
          <a:effectLst/>
        </c:spPr>
      </c:pivotFmt>
      <c:pivotFmt>
        <c:idx val="10"/>
        <c:spPr>
          <a:solidFill>
            <a:srgbClr val="04757F"/>
          </a:solidFill>
          <a:ln w="19050">
            <a:noFill/>
          </a:ln>
          <a:effectLst/>
        </c:spPr>
      </c:pivotFmt>
      <c:pivotFmt>
        <c:idx val="11"/>
        <c:spPr>
          <a:solidFill>
            <a:srgbClr val="04757F">
              <a:alpha val="25000"/>
            </a:srgbClr>
          </a:solidFill>
          <a:ln w="19050">
            <a:noFill/>
          </a:ln>
          <a:effectLst/>
        </c:spPr>
        <c:dLbl>
          <c:idx val="0"/>
          <c:layout>
            <c:manualLayout>
              <c:x val="-1.2572144434140895E-2"/>
              <c:y val="2.8426844969388541E-2"/>
            </c:manualLayout>
          </c:layout>
          <c:spPr>
            <a:noFill/>
            <a:ln>
              <a:noFill/>
            </a:ln>
            <a:effectLst/>
          </c:spPr>
          <c:txPr>
            <a:bodyPr rot="0" spcFirstLastPara="1" vertOverflow="ellipsis" vert="horz" wrap="square" lIns="38100" tIns="19050" rIns="38100" bIns="19050" anchor="ctr" anchorCtr="1">
              <a:noAutofit/>
            </a:bodyPr>
            <a:lstStyle/>
            <a:p>
              <a:pPr>
                <a:defRPr sz="900" b="1" i="1" u="none" strike="noStrike" kern="1200" baseline="0">
                  <a:solidFill>
                    <a:schemeClr val="bg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1448496651181646"/>
                  <c:h val="0.10793695418219325"/>
                </c:manualLayout>
              </c15:layout>
            </c:ext>
          </c:extLst>
        </c:dLbl>
      </c:pivotFmt>
    </c:pivotFmts>
    <c:plotArea>
      <c:layout>
        <c:manualLayout>
          <c:layoutTarget val="inner"/>
          <c:xMode val="edge"/>
          <c:yMode val="edge"/>
          <c:x val="9.4854274111342438E-2"/>
          <c:y val="3.9323181258633738E-2"/>
          <c:w val="0.50450144263639751"/>
          <c:h val="0.89888324819208465"/>
        </c:manualLayout>
      </c:layout>
      <c:doughnutChart>
        <c:varyColors val="1"/>
        <c:ser>
          <c:idx val="0"/>
          <c:order val="0"/>
          <c:tx>
            <c:strRef>
              <c:f>Calculation!$G$15</c:f>
              <c:strCache>
                <c:ptCount val="1"/>
                <c:pt idx="0">
                  <c:v>Total</c:v>
                </c:pt>
              </c:strCache>
            </c:strRef>
          </c:tx>
          <c:spPr>
            <a:ln>
              <a:noFill/>
            </a:ln>
          </c:spPr>
          <c:dPt>
            <c:idx val="0"/>
            <c:bubble3D val="0"/>
            <c:spPr>
              <a:solidFill>
                <a:srgbClr val="04757F">
                  <a:alpha val="60000"/>
                </a:srgbClr>
              </a:solidFill>
              <a:ln w="19050">
                <a:noFill/>
              </a:ln>
              <a:effectLst/>
            </c:spPr>
            <c:extLst>
              <c:ext xmlns:c16="http://schemas.microsoft.com/office/drawing/2014/chart" uri="{C3380CC4-5D6E-409C-BE32-E72D297353CC}">
                <c16:uniqueId val="{00000001-59E7-423C-804F-8860CC8E2EF1}"/>
              </c:ext>
            </c:extLst>
          </c:dPt>
          <c:dPt>
            <c:idx val="1"/>
            <c:bubble3D val="0"/>
            <c:spPr>
              <a:solidFill>
                <a:srgbClr val="04757F"/>
              </a:solidFill>
              <a:ln w="19050">
                <a:noFill/>
              </a:ln>
              <a:effectLst/>
            </c:spPr>
            <c:extLst>
              <c:ext xmlns:c16="http://schemas.microsoft.com/office/drawing/2014/chart" uri="{C3380CC4-5D6E-409C-BE32-E72D297353CC}">
                <c16:uniqueId val="{00000003-59E7-423C-804F-8860CC8E2EF1}"/>
              </c:ext>
            </c:extLst>
          </c:dPt>
          <c:dPt>
            <c:idx val="2"/>
            <c:bubble3D val="0"/>
            <c:spPr>
              <a:solidFill>
                <a:srgbClr val="04757F">
                  <a:alpha val="25000"/>
                </a:srgbClr>
              </a:solidFill>
              <a:ln w="19050">
                <a:noFill/>
              </a:ln>
              <a:effectLst/>
            </c:spPr>
            <c:extLst>
              <c:ext xmlns:c16="http://schemas.microsoft.com/office/drawing/2014/chart" uri="{C3380CC4-5D6E-409C-BE32-E72D297353CC}">
                <c16:uniqueId val="{00000005-59E7-423C-804F-8860CC8E2EF1}"/>
              </c:ext>
            </c:extLst>
          </c:dPt>
          <c:dLbls>
            <c:dLbl>
              <c:idx val="2"/>
              <c:layout>
                <c:manualLayout>
                  <c:x val="-1.2572144434140895E-2"/>
                  <c:y val="2.8426844969388541E-2"/>
                </c:manualLayout>
              </c:layout>
              <c:spPr>
                <a:noFill/>
                <a:ln>
                  <a:noFill/>
                </a:ln>
                <a:effectLst/>
              </c:spPr>
              <c:txPr>
                <a:bodyPr rot="0" spcFirstLastPara="1" vertOverflow="ellipsis" vert="horz" wrap="square" lIns="38100" tIns="19050" rIns="38100" bIns="19050" anchor="ctr" anchorCtr="1">
                  <a:noAutofit/>
                </a:bodyPr>
                <a:lstStyle/>
                <a:p>
                  <a:pPr>
                    <a:defRPr sz="900" b="1" i="1" u="none" strike="noStrike" kern="1200" baseline="0">
                      <a:solidFill>
                        <a:schemeClr val="bg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1448496651181646"/>
                      <c:h val="0.10793695418219325"/>
                    </c:manualLayout>
                  </c15:layout>
                </c:ext>
                <c:ext xmlns:c16="http://schemas.microsoft.com/office/drawing/2014/chart" uri="{C3380CC4-5D6E-409C-BE32-E72D297353CC}">
                  <c16:uniqueId val="{00000005-59E7-423C-804F-8860CC8E2EF1}"/>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lumMod val="8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Calculation!$F$16:$F$18</c:f>
              <c:strCache>
                <c:ptCount val="3"/>
                <c:pt idx="0">
                  <c:v>Early Adulthood</c:v>
                </c:pt>
                <c:pt idx="1">
                  <c:v>Established Adulthood</c:v>
                </c:pt>
                <c:pt idx="2">
                  <c:v>Experienced Adulthood</c:v>
                </c:pt>
              </c:strCache>
            </c:strRef>
          </c:cat>
          <c:val>
            <c:numRef>
              <c:f>Calculation!$G$16:$G$18</c:f>
              <c:numCache>
                <c:formatCode>0.00%</c:formatCode>
                <c:ptCount val="3"/>
                <c:pt idx="0">
                  <c:v>0.25</c:v>
                </c:pt>
                <c:pt idx="1">
                  <c:v>0.52500000000000002</c:v>
                </c:pt>
                <c:pt idx="2">
                  <c:v>0.22500000000000001</c:v>
                </c:pt>
              </c:numCache>
            </c:numRef>
          </c:val>
          <c:extLst>
            <c:ext xmlns:c16="http://schemas.microsoft.com/office/drawing/2014/chart" uri="{C3380CC4-5D6E-409C-BE32-E72D297353CC}">
              <c16:uniqueId val="{00000006-59E7-423C-804F-8860CC8E2EF1}"/>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r"/>
      <c:layout>
        <c:manualLayout>
          <c:xMode val="edge"/>
          <c:yMode val="edge"/>
          <c:x val="0.68159840438605157"/>
          <c:y val="8.8158679873475768E-2"/>
          <c:w val="0.31840159561394843"/>
          <c:h val="0.7338006407599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NEW.xlsx]Calculation!PivotTable11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4757F">
              <a:alpha val="2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757F">
              <a:alpha val="60000"/>
            </a:srgbClr>
          </a:solidFill>
          <a:ln>
            <a:noFill/>
          </a:ln>
          <a:effectLst/>
        </c:spPr>
      </c:pivotFmt>
      <c:pivotFmt>
        <c:idx val="7"/>
        <c:spPr>
          <a:solidFill>
            <a:srgbClr val="04757F">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4757F">
              <a:alpha val="2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4757F">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4757F">
              <a:alpha val="2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Calculation!$L$15:$L$16</c:f>
              <c:strCache>
                <c:ptCount val="1"/>
                <c:pt idx="0">
                  <c:v>Early Adulthood</c:v>
                </c:pt>
              </c:strCache>
            </c:strRef>
          </c:tx>
          <c:spPr>
            <a:solidFill>
              <a:srgbClr val="04757F">
                <a:alpha val="60000"/>
              </a:srgbClr>
            </a:solidFill>
            <a:ln>
              <a:noFill/>
            </a:ln>
            <a:effectLst/>
          </c:spPr>
          <c:invertIfNegative val="0"/>
          <c:cat>
            <c:strRef>
              <c:f>Calculation!$K$17:$K$19</c:f>
              <c:strCache>
                <c:ptCount val="3"/>
                <c:pt idx="0">
                  <c:v>Returns</c:v>
                </c:pt>
                <c:pt idx="1">
                  <c:v>Risk</c:v>
                </c:pt>
                <c:pt idx="2">
                  <c:v>Locking Period</c:v>
                </c:pt>
              </c:strCache>
            </c:strRef>
          </c:cat>
          <c:val>
            <c:numRef>
              <c:f>Calculation!$L$17:$L$19</c:f>
              <c:numCache>
                <c:formatCode>General</c:formatCode>
                <c:ptCount val="3"/>
                <c:pt idx="0">
                  <c:v>4</c:v>
                </c:pt>
                <c:pt idx="1">
                  <c:v>5</c:v>
                </c:pt>
                <c:pt idx="2">
                  <c:v>1</c:v>
                </c:pt>
              </c:numCache>
            </c:numRef>
          </c:val>
          <c:extLst>
            <c:ext xmlns:c16="http://schemas.microsoft.com/office/drawing/2014/chart" uri="{C3380CC4-5D6E-409C-BE32-E72D297353CC}">
              <c16:uniqueId val="{00000000-6AC4-4E5E-BA0E-B4B012B40A0D}"/>
            </c:ext>
          </c:extLst>
        </c:ser>
        <c:ser>
          <c:idx val="1"/>
          <c:order val="1"/>
          <c:tx>
            <c:strRef>
              <c:f>Calculation!$M$15:$M$16</c:f>
              <c:strCache>
                <c:ptCount val="1"/>
                <c:pt idx="0">
                  <c:v>Established Adulthood</c:v>
                </c:pt>
              </c:strCache>
            </c:strRef>
          </c:tx>
          <c:spPr>
            <a:solidFill>
              <a:srgbClr val="04757F"/>
            </a:solidFill>
            <a:ln>
              <a:noFill/>
            </a:ln>
            <a:effectLst/>
          </c:spPr>
          <c:invertIfNegative val="0"/>
          <c:cat>
            <c:strRef>
              <c:f>Calculation!$K$17:$K$19</c:f>
              <c:strCache>
                <c:ptCount val="3"/>
                <c:pt idx="0">
                  <c:v>Returns</c:v>
                </c:pt>
                <c:pt idx="1">
                  <c:v>Risk</c:v>
                </c:pt>
                <c:pt idx="2">
                  <c:v>Locking Period</c:v>
                </c:pt>
              </c:strCache>
            </c:strRef>
          </c:cat>
          <c:val>
            <c:numRef>
              <c:f>Calculation!$M$17:$M$19</c:f>
              <c:numCache>
                <c:formatCode>General</c:formatCode>
                <c:ptCount val="3"/>
                <c:pt idx="0">
                  <c:v>16</c:v>
                </c:pt>
                <c:pt idx="1">
                  <c:v>5</c:v>
                </c:pt>
              </c:numCache>
            </c:numRef>
          </c:val>
          <c:extLst>
            <c:ext xmlns:c16="http://schemas.microsoft.com/office/drawing/2014/chart" uri="{C3380CC4-5D6E-409C-BE32-E72D297353CC}">
              <c16:uniqueId val="{00000001-6AC4-4E5E-BA0E-B4B012B40A0D}"/>
            </c:ext>
          </c:extLst>
        </c:ser>
        <c:ser>
          <c:idx val="2"/>
          <c:order val="2"/>
          <c:tx>
            <c:strRef>
              <c:f>Calculation!$N$15:$N$16</c:f>
              <c:strCache>
                <c:ptCount val="1"/>
                <c:pt idx="0">
                  <c:v>Experienced Adulthood</c:v>
                </c:pt>
              </c:strCache>
            </c:strRef>
          </c:tx>
          <c:spPr>
            <a:solidFill>
              <a:srgbClr val="04757F">
                <a:alpha val="25000"/>
              </a:srgbClr>
            </a:solidFill>
            <a:ln>
              <a:noFill/>
            </a:ln>
            <a:effectLst/>
          </c:spPr>
          <c:invertIfNegative val="0"/>
          <c:cat>
            <c:strRef>
              <c:f>Calculation!$K$17:$K$19</c:f>
              <c:strCache>
                <c:ptCount val="3"/>
                <c:pt idx="0">
                  <c:v>Returns</c:v>
                </c:pt>
                <c:pt idx="1">
                  <c:v>Risk</c:v>
                </c:pt>
                <c:pt idx="2">
                  <c:v>Locking Period</c:v>
                </c:pt>
              </c:strCache>
            </c:strRef>
          </c:cat>
          <c:val>
            <c:numRef>
              <c:f>Calculation!$N$17:$N$19</c:f>
              <c:numCache>
                <c:formatCode>General</c:formatCode>
                <c:ptCount val="3"/>
                <c:pt idx="0">
                  <c:v>5</c:v>
                </c:pt>
                <c:pt idx="1">
                  <c:v>4</c:v>
                </c:pt>
              </c:numCache>
            </c:numRef>
          </c:val>
          <c:extLst>
            <c:ext xmlns:c16="http://schemas.microsoft.com/office/drawing/2014/chart" uri="{C3380CC4-5D6E-409C-BE32-E72D297353CC}">
              <c16:uniqueId val="{00000001-A825-402F-84E9-E7FA384D54C4}"/>
            </c:ext>
          </c:extLst>
        </c:ser>
        <c:dLbls>
          <c:showLegendKey val="0"/>
          <c:showVal val="0"/>
          <c:showCatName val="0"/>
          <c:showSerName val="0"/>
          <c:showPercent val="0"/>
          <c:showBubbleSize val="0"/>
        </c:dLbls>
        <c:gapWidth val="76"/>
        <c:overlap val="35"/>
        <c:axId val="1725218720"/>
        <c:axId val="1725218240"/>
      </c:barChart>
      <c:catAx>
        <c:axId val="1725218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1725218240"/>
        <c:crosses val="autoZero"/>
        <c:auto val="1"/>
        <c:lblAlgn val="ctr"/>
        <c:lblOffset val="100"/>
        <c:noMultiLvlLbl val="0"/>
      </c:catAx>
      <c:valAx>
        <c:axId val="172521824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725218720"/>
        <c:crosses val="autoZero"/>
        <c:crossBetween val="between"/>
      </c:valAx>
      <c:spPr>
        <a:noFill/>
        <a:ln>
          <a:noFill/>
        </a:ln>
        <a:effectLst/>
      </c:spPr>
    </c:plotArea>
    <c:legend>
      <c:legendPos val="t"/>
      <c:layout>
        <c:manualLayout>
          <c:xMode val="edge"/>
          <c:yMode val="edge"/>
          <c:x val="7.0793951057601556E-2"/>
          <c:y val="3.5081655527944386E-2"/>
          <c:w val="0.83442476151692102"/>
          <c:h val="4.41492472560965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NEW.xlsx]Calculation!PivotTable13</c:name>
    <c:fmtId val="5"/>
  </c:pivotSource>
  <c:chart>
    <c:autoTitleDeleted val="0"/>
    <c:pivotFmts>
      <c:pivotFmt>
        <c:idx val="0"/>
        <c:spPr>
          <a:solidFill>
            <a:srgbClr val="342671">
              <a:alpha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26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42671">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42671">
              <a:alpha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426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42671">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757F">
              <a:alpha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757F">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Calculation!$H$25:$H$26</c:f>
              <c:strCache>
                <c:ptCount val="1"/>
                <c:pt idx="0">
                  <c:v>Better Returns</c:v>
                </c:pt>
              </c:strCache>
            </c:strRef>
          </c:tx>
          <c:spPr>
            <a:solidFill>
              <a:srgbClr val="04757F">
                <a:alpha val="75000"/>
              </a:srgbClr>
            </a:solidFill>
            <a:ln>
              <a:noFill/>
            </a:ln>
            <a:effectLst/>
          </c:spPr>
          <c:invertIfNegative val="0"/>
          <c:cat>
            <c:strRef>
              <c:f>Calculation!$G$27:$G$29</c:f>
              <c:strCache>
                <c:ptCount val="3"/>
                <c:pt idx="0">
                  <c:v>30%-40%</c:v>
                </c:pt>
                <c:pt idx="1">
                  <c:v>20%-30%</c:v>
                </c:pt>
                <c:pt idx="2">
                  <c:v>10%-20%</c:v>
                </c:pt>
              </c:strCache>
            </c:strRef>
          </c:cat>
          <c:val>
            <c:numRef>
              <c:f>Calculation!$H$27:$H$29</c:f>
              <c:numCache>
                <c:formatCode>General</c:formatCode>
                <c:ptCount val="3"/>
                <c:pt idx="0">
                  <c:v>2</c:v>
                </c:pt>
                <c:pt idx="1">
                  <c:v>22</c:v>
                </c:pt>
              </c:numCache>
            </c:numRef>
          </c:val>
          <c:extLst>
            <c:ext xmlns:c16="http://schemas.microsoft.com/office/drawing/2014/chart" uri="{C3380CC4-5D6E-409C-BE32-E72D297353CC}">
              <c16:uniqueId val="{00000000-CC6C-4943-8003-F43E08CC8717}"/>
            </c:ext>
          </c:extLst>
        </c:ser>
        <c:ser>
          <c:idx val="1"/>
          <c:order val="1"/>
          <c:tx>
            <c:strRef>
              <c:f>Calculation!$I$25:$I$26</c:f>
              <c:strCache>
                <c:ptCount val="1"/>
                <c:pt idx="0">
                  <c:v>Fund Diversification</c:v>
                </c:pt>
              </c:strCache>
            </c:strRef>
          </c:tx>
          <c:spPr>
            <a:solidFill>
              <a:srgbClr val="04757F"/>
            </a:solidFill>
            <a:ln>
              <a:noFill/>
            </a:ln>
            <a:effectLst/>
          </c:spPr>
          <c:invertIfNegative val="0"/>
          <c:cat>
            <c:strRef>
              <c:f>Calculation!$G$27:$G$29</c:f>
              <c:strCache>
                <c:ptCount val="3"/>
                <c:pt idx="0">
                  <c:v>30%-40%</c:v>
                </c:pt>
                <c:pt idx="1">
                  <c:v>20%-30%</c:v>
                </c:pt>
                <c:pt idx="2">
                  <c:v>10%-20%</c:v>
                </c:pt>
              </c:strCache>
            </c:strRef>
          </c:cat>
          <c:val>
            <c:numRef>
              <c:f>Calculation!$I$27:$I$29</c:f>
              <c:numCache>
                <c:formatCode>General</c:formatCode>
                <c:ptCount val="3"/>
                <c:pt idx="0">
                  <c:v>3</c:v>
                </c:pt>
                <c:pt idx="1">
                  <c:v>9</c:v>
                </c:pt>
                <c:pt idx="2">
                  <c:v>1</c:v>
                </c:pt>
              </c:numCache>
            </c:numRef>
          </c:val>
          <c:extLst>
            <c:ext xmlns:c16="http://schemas.microsoft.com/office/drawing/2014/chart" uri="{C3380CC4-5D6E-409C-BE32-E72D297353CC}">
              <c16:uniqueId val="{00000001-CC6C-4943-8003-F43E08CC8717}"/>
            </c:ext>
          </c:extLst>
        </c:ser>
        <c:ser>
          <c:idx val="2"/>
          <c:order val="2"/>
          <c:tx>
            <c:strRef>
              <c:f>Calculation!$J$25:$J$26</c:f>
              <c:strCache>
                <c:ptCount val="1"/>
                <c:pt idx="0">
                  <c:v>Tax Benefits</c:v>
                </c:pt>
              </c:strCache>
            </c:strRef>
          </c:tx>
          <c:spPr>
            <a:solidFill>
              <a:srgbClr val="04757F">
                <a:alpha val="30000"/>
              </a:srgbClr>
            </a:solidFill>
            <a:ln>
              <a:noFill/>
            </a:ln>
            <a:effectLst/>
          </c:spPr>
          <c:invertIfNegative val="0"/>
          <c:cat>
            <c:strRef>
              <c:f>Calculation!$G$27:$G$29</c:f>
              <c:strCache>
                <c:ptCount val="3"/>
                <c:pt idx="0">
                  <c:v>30%-40%</c:v>
                </c:pt>
                <c:pt idx="1">
                  <c:v>20%-30%</c:v>
                </c:pt>
                <c:pt idx="2">
                  <c:v>10%-20%</c:v>
                </c:pt>
              </c:strCache>
            </c:strRef>
          </c:cat>
          <c:val>
            <c:numRef>
              <c:f>Calculation!$J$27:$J$29</c:f>
              <c:numCache>
                <c:formatCode>General</c:formatCode>
                <c:ptCount val="3"/>
                <c:pt idx="1">
                  <c:v>1</c:v>
                </c:pt>
                <c:pt idx="2">
                  <c:v>2</c:v>
                </c:pt>
              </c:numCache>
            </c:numRef>
          </c:val>
          <c:extLst>
            <c:ext xmlns:c16="http://schemas.microsoft.com/office/drawing/2014/chart" uri="{C3380CC4-5D6E-409C-BE32-E72D297353CC}">
              <c16:uniqueId val="{00000001-CD83-4622-BA92-B335E9F9A654}"/>
            </c:ext>
          </c:extLst>
        </c:ser>
        <c:dLbls>
          <c:showLegendKey val="0"/>
          <c:showVal val="0"/>
          <c:showCatName val="0"/>
          <c:showSerName val="0"/>
          <c:showPercent val="0"/>
          <c:showBubbleSize val="0"/>
        </c:dLbls>
        <c:gapWidth val="95"/>
        <c:overlap val="39"/>
        <c:axId val="801284944"/>
        <c:axId val="801279184"/>
      </c:barChart>
      <c:catAx>
        <c:axId val="8012849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NG"/>
          </a:p>
        </c:txPr>
        <c:crossAx val="801279184"/>
        <c:crosses val="autoZero"/>
        <c:auto val="1"/>
        <c:lblAlgn val="ctr"/>
        <c:lblOffset val="100"/>
        <c:noMultiLvlLbl val="0"/>
      </c:catAx>
      <c:valAx>
        <c:axId val="801279184"/>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801284944"/>
        <c:crosses val="autoZero"/>
        <c:crossBetween val="between"/>
      </c:valAx>
      <c:spPr>
        <a:noFill/>
        <a:ln>
          <a:noFill/>
        </a:ln>
        <a:effectLst/>
      </c:spPr>
    </c:plotArea>
    <c:legend>
      <c:legendPos val="r"/>
      <c:layout>
        <c:manualLayout>
          <c:xMode val="edge"/>
          <c:yMode val="edge"/>
          <c:x val="0.52959938507054571"/>
          <c:y val="9.2016622922134736E-2"/>
          <c:w val="0.24469768470653233"/>
          <c:h val="0.251151574803149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NEW.xlsx]Calculation!PivotTable12</c:name>
    <c:fmtId val="6"/>
  </c:pivotSource>
  <c:chart>
    <c:autoTitleDeleted val="0"/>
    <c:pivotFmts>
      <c:pivotFmt>
        <c:idx val="0"/>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4757F">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4757F">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4757F">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4757F">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47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4757F">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4757F">
              <a:alpha val="3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Calculation!$B$25:$B$26</c:f>
              <c:strCache>
                <c:ptCount val="1"/>
                <c:pt idx="0">
                  <c:v>Capital Appreciation</c:v>
                </c:pt>
              </c:strCache>
            </c:strRef>
          </c:tx>
          <c:spPr>
            <a:solidFill>
              <a:srgbClr val="04757F"/>
            </a:solidFill>
            <a:ln>
              <a:noFill/>
            </a:ln>
            <a:effectLst/>
          </c:spPr>
          <c:invertIfNegative val="0"/>
          <c:cat>
            <c:strRef>
              <c:f>Calculation!$A$27:$A$30</c:f>
              <c:strCache>
                <c:ptCount val="4"/>
                <c:pt idx="0">
                  <c:v>Mid term</c:v>
                </c:pt>
                <c:pt idx="1">
                  <c:v>Short term</c:v>
                </c:pt>
                <c:pt idx="2">
                  <c:v>Low term</c:v>
                </c:pt>
                <c:pt idx="3">
                  <c:v>Long term</c:v>
                </c:pt>
              </c:strCache>
            </c:strRef>
          </c:cat>
          <c:val>
            <c:numRef>
              <c:f>Calculation!$B$27:$B$30</c:f>
              <c:numCache>
                <c:formatCode>General</c:formatCode>
                <c:ptCount val="4"/>
                <c:pt idx="0">
                  <c:v>12</c:v>
                </c:pt>
                <c:pt idx="1">
                  <c:v>13</c:v>
                </c:pt>
                <c:pt idx="3">
                  <c:v>1</c:v>
                </c:pt>
              </c:numCache>
            </c:numRef>
          </c:val>
          <c:extLst>
            <c:ext xmlns:c16="http://schemas.microsoft.com/office/drawing/2014/chart" uri="{C3380CC4-5D6E-409C-BE32-E72D297353CC}">
              <c16:uniqueId val="{00000000-7D8D-4E74-9BE6-4CE48A1B668F}"/>
            </c:ext>
          </c:extLst>
        </c:ser>
        <c:ser>
          <c:idx val="1"/>
          <c:order val="1"/>
          <c:tx>
            <c:strRef>
              <c:f>Calculation!$C$25:$C$26</c:f>
              <c:strCache>
                <c:ptCount val="1"/>
                <c:pt idx="0">
                  <c:v>Growth</c:v>
                </c:pt>
              </c:strCache>
            </c:strRef>
          </c:tx>
          <c:spPr>
            <a:solidFill>
              <a:srgbClr val="04757F">
                <a:alpha val="80000"/>
              </a:srgbClr>
            </a:solidFill>
            <a:ln>
              <a:noFill/>
            </a:ln>
            <a:effectLst/>
          </c:spPr>
          <c:invertIfNegative val="0"/>
          <c:cat>
            <c:strRef>
              <c:f>Calculation!$A$27:$A$30</c:f>
              <c:strCache>
                <c:ptCount val="4"/>
                <c:pt idx="0">
                  <c:v>Mid term</c:v>
                </c:pt>
                <c:pt idx="1">
                  <c:v>Short term</c:v>
                </c:pt>
                <c:pt idx="2">
                  <c:v>Low term</c:v>
                </c:pt>
                <c:pt idx="3">
                  <c:v>Long term</c:v>
                </c:pt>
              </c:strCache>
            </c:strRef>
          </c:cat>
          <c:val>
            <c:numRef>
              <c:f>Calculation!$C$27:$C$30</c:f>
              <c:numCache>
                <c:formatCode>General</c:formatCode>
                <c:ptCount val="4"/>
                <c:pt idx="0">
                  <c:v>6</c:v>
                </c:pt>
                <c:pt idx="1">
                  <c:v>5</c:v>
                </c:pt>
              </c:numCache>
            </c:numRef>
          </c:val>
          <c:extLst>
            <c:ext xmlns:c16="http://schemas.microsoft.com/office/drawing/2014/chart" uri="{C3380CC4-5D6E-409C-BE32-E72D297353CC}">
              <c16:uniqueId val="{00000001-7D8D-4E74-9BE6-4CE48A1B668F}"/>
            </c:ext>
          </c:extLst>
        </c:ser>
        <c:ser>
          <c:idx val="2"/>
          <c:order val="2"/>
          <c:tx>
            <c:strRef>
              <c:f>Calculation!$D$25:$D$26</c:f>
              <c:strCache>
                <c:ptCount val="1"/>
                <c:pt idx="0">
                  <c:v>Income</c:v>
                </c:pt>
              </c:strCache>
            </c:strRef>
          </c:tx>
          <c:spPr>
            <a:solidFill>
              <a:srgbClr val="04757F">
                <a:alpha val="30000"/>
              </a:srgbClr>
            </a:solidFill>
            <a:ln>
              <a:noFill/>
            </a:ln>
            <a:effectLst/>
          </c:spPr>
          <c:invertIfNegative val="0"/>
          <c:cat>
            <c:strRef>
              <c:f>Calculation!$A$27:$A$30</c:f>
              <c:strCache>
                <c:ptCount val="4"/>
                <c:pt idx="0">
                  <c:v>Mid term</c:v>
                </c:pt>
                <c:pt idx="1">
                  <c:v>Short term</c:v>
                </c:pt>
                <c:pt idx="2">
                  <c:v>Low term</c:v>
                </c:pt>
                <c:pt idx="3">
                  <c:v>Long term</c:v>
                </c:pt>
              </c:strCache>
            </c:strRef>
          </c:cat>
          <c:val>
            <c:numRef>
              <c:f>Calculation!$D$27:$D$30</c:f>
              <c:numCache>
                <c:formatCode>General</c:formatCode>
                <c:ptCount val="4"/>
                <c:pt idx="0">
                  <c:v>1</c:v>
                </c:pt>
                <c:pt idx="2">
                  <c:v>2</c:v>
                </c:pt>
              </c:numCache>
            </c:numRef>
          </c:val>
          <c:extLst>
            <c:ext xmlns:c16="http://schemas.microsoft.com/office/drawing/2014/chart" uri="{C3380CC4-5D6E-409C-BE32-E72D297353CC}">
              <c16:uniqueId val="{00000002-0880-4F28-8FA5-95E2FF158C07}"/>
            </c:ext>
          </c:extLst>
        </c:ser>
        <c:dLbls>
          <c:showLegendKey val="0"/>
          <c:showVal val="0"/>
          <c:showCatName val="0"/>
          <c:showSerName val="0"/>
          <c:showPercent val="0"/>
          <c:showBubbleSize val="0"/>
        </c:dLbls>
        <c:gapWidth val="105"/>
        <c:overlap val="17"/>
        <c:axId val="804197856"/>
        <c:axId val="804181536"/>
      </c:barChart>
      <c:catAx>
        <c:axId val="8041978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804181536"/>
        <c:crosses val="autoZero"/>
        <c:auto val="1"/>
        <c:lblAlgn val="ctr"/>
        <c:lblOffset val="100"/>
        <c:noMultiLvlLbl val="0"/>
      </c:catAx>
      <c:valAx>
        <c:axId val="8041815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crossAx val="804197856"/>
        <c:crosses val="autoZero"/>
        <c:crossBetween val="between"/>
      </c:valAx>
      <c:spPr>
        <a:noFill/>
        <a:ln>
          <a:noFill/>
        </a:ln>
        <a:effectLst/>
      </c:spPr>
    </c:plotArea>
    <c:legend>
      <c:legendPos val="t"/>
      <c:layout>
        <c:manualLayout>
          <c:xMode val="edge"/>
          <c:yMode val="edge"/>
          <c:x val="0.44192885727379561"/>
          <c:y val="8.7993385386016296E-2"/>
          <c:w val="0.55807114272620439"/>
          <c:h val="8.52745657667465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Investment Preference Data'!A1"/><Relationship Id="rId2" Type="http://schemas.openxmlformats.org/officeDocument/2006/relationships/hyperlink" Target="#Calculation!A1"/><Relationship Id="rId1" Type="http://schemas.openxmlformats.org/officeDocument/2006/relationships/hyperlink" Target="#Visual!A1"/></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microsoft.com/office/2007/relationships/hdphoto" Target="../media/hdphoto6.wdp"/><Relationship Id="rId18" Type="http://schemas.microsoft.com/office/2007/relationships/hdphoto" Target="../media/hdphoto8.wdp"/><Relationship Id="rId26" Type="http://schemas.openxmlformats.org/officeDocument/2006/relationships/chart" Target="../charts/chart5.xml"/><Relationship Id="rId3" Type="http://schemas.openxmlformats.org/officeDocument/2006/relationships/image" Target="../media/image2.png"/><Relationship Id="rId21" Type="http://schemas.openxmlformats.org/officeDocument/2006/relationships/hyperlink" Target="#'Investment Preference Data'!A1"/><Relationship Id="rId7" Type="http://schemas.microsoft.com/office/2007/relationships/hdphoto" Target="../media/hdphoto3.wdp"/><Relationship Id="rId12" Type="http://schemas.openxmlformats.org/officeDocument/2006/relationships/image" Target="../media/image7.png"/><Relationship Id="rId17" Type="http://schemas.openxmlformats.org/officeDocument/2006/relationships/image" Target="../media/image10.png"/><Relationship Id="rId25" Type="http://schemas.openxmlformats.org/officeDocument/2006/relationships/chart" Target="../charts/chart4.xml"/><Relationship Id="rId2" Type="http://schemas.microsoft.com/office/2007/relationships/hdphoto" Target="../media/hdphoto1.wdp"/><Relationship Id="rId16" Type="http://schemas.microsoft.com/office/2007/relationships/hdphoto" Target="../media/hdphoto7.wdp"/><Relationship Id="rId20" Type="http://schemas.openxmlformats.org/officeDocument/2006/relationships/hyperlink" Target="#Calculation!A1"/><Relationship Id="rId1" Type="http://schemas.openxmlformats.org/officeDocument/2006/relationships/image" Target="../media/image1.png"/><Relationship Id="rId6" Type="http://schemas.openxmlformats.org/officeDocument/2006/relationships/image" Target="../media/image4.png"/><Relationship Id="rId11" Type="http://schemas.microsoft.com/office/2007/relationships/hdphoto" Target="../media/hdphoto5.wdp"/><Relationship Id="rId24" Type="http://schemas.openxmlformats.org/officeDocument/2006/relationships/chart" Target="../charts/chart3.xml"/><Relationship Id="rId5" Type="http://schemas.microsoft.com/office/2007/relationships/hdphoto" Target="../media/hdphoto2.wdp"/><Relationship Id="rId15" Type="http://schemas.openxmlformats.org/officeDocument/2006/relationships/image" Target="../media/image9.png"/><Relationship Id="rId23" Type="http://schemas.openxmlformats.org/officeDocument/2006/relationships/chart" Target="../charts/chart2.xml"/><Relationship Id="rId10" Type="http://schemas.openxmlformats.org/officeDocument/2006/relationships/image" Target="../media/image6.png"/><Relationship Id="rId19" Type="http://schemas.openxmlformats.org/officeDocument/2006/relationships/hyperlink" Target="#Visual!A1"/><Relationship Id="rId4" Type="http://schemas.openxmlformats.org/officeDocument/2006/relationships/image" Target="../media/image3.png"/><Relationship Id="rId9" Type="http://schemas.microsoft.com/office/2007/relationships/hdphoto" Target="../media/hdphoto4.wdp"/><Relationship Id="rId14" Type="http://schemas.openxmlformats.org/officeDocument/2006/relationships/image" Target="../media/image8.png"/><Relationship Id="rId22"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212878</xdr:colOff>
      <xdr:row>0</xdr:row>
      <xdr:rowOff>76545</xdr:rowOff>
    </xdr:from>
    <xdr:to>
      <xdr:col>12</xdr:col>
      <xdr:colOff>371475</xdr:colOff>
      <xdr:row>2</xdr:row>
      <xdr:rowOff>95251</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A8B3A1-D047-4656-8FF0-448C8707D421}"/>
            </a:ext>
          </a:extLst>
        </xdr:cNvPr>
        <xdr:cNvSpPr txBox="1"/>
      </xdr:nvSpPr>
      <xdr:spPr>
        <a:xfrm>
          <a:off x="11604778" y="76545"/>
          <a:ext cx="1282547" cy="399706"/>
        </a:xfrm>
        <a:prstGeom prst="rect">
          <a:avLst/>
        </a:prstGeom>
        <a:solidFill>
          <a:srgbClr val="1013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lumMod val="85000"/>
                </a:schemeClr>
              </a:solidFill>
            </a:rPr>
            <a:t>Dashboard</a:t>
          </a:r>
        </a:p>
      </xdr:txBody>
    </xdr:sp>
    <xdr:clientData/>
  </xdr:twoCellAnchor>
  <xdr:twoCellAnchor>
    <xdr:from>
      <xdr:col>12</xdr:col>
      <xdr:colOff>436888</xdr:colOff>
      <xdr:row>0</xdr:row>
      <xdr:rowOff>66675</xdr:rowOff>
    </xdr:from>
    <xdr:to>
      <xdr:col>13</xdr:col>
      <xdr:colOff>276225</xdr:colOff>
      <xdr:row>2</xdr:row>
      <xdr:rowOff>114644</xdr:rowOff>
    </xdr:to>
    <xdr:sp macro="" textlink="">
      <xdr:nvSpPr>
        <xdr:cNvPr id="4" name="TextBox 3">
          <a:hlinkClick xmlns:r="http://schemas.openxmlformats.org/officeDocument/2006/relationships" r:id="rId2"/>
          <a:extLst>
            <a:ext uri="{FF2B5EF4-FFF2-40B4-BE49-F238E27FC236}">
              <a16:creationId xmlns:a16="http://schemas.microsoft.com/office/drawing/2014/main" id="{B8E03230-19EE-4EA1-A386-EC2E5FAF6AC2}"/>
            </a:ext>
          </a:extLst>
        </xdr:cNvPr>
        <xdr:cNvSpPr txBox="1"/>
      </xdr:nvSpPr>
      <xdr:spPr>
        <a:xfrm>
          <a:off x="12952738" y="66675"/>
          <a:ext cx="1287137" cy="428969"/>
        </a:xfrm>
        <a:prstGeom prst="rect">
          <a:avLst/>
        </a:prstGeom>
        <a:solidFill>
          <a:srgbClr val="1013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lumMod val="85000"/>
                </a:schemeClr>
              </a:solidFill>
            </a:rPr>
            <a:t>Analysis</a:t>
          </a:r>
        </a:p>
      </xdr:txBody>
    </xdr:sp>
    <xdr:clientData/>
  </xdr:twoCellAnchor>
  <xdr:twoCellAnchor>
    <xdr:from>
      <xdr:col>13</xdr:col>
      <xdr:colOff>323850</xdr:colOff>
      <xdr:row>0</xdr:row>
      <xdr:rowOff>85037</xdr:rowOff>
    </xdr:from>
    <xdr:to>
      <xdr:col>13</xdr:col>
      <xdr:colOff>1304925</xdr:colOff>
      <xdr:row>2</xdr:row>
      <xdr:rowOff>95250</xdr:rowOff>
    </xdr:to>
    <xdr:sp macro="" textlink="">
      <xdr:nvSpPr>
        <xdr:cNvPr id="5" name="TextBox 4">
          <a:hlinkClick xmlns:r="http://schemas.openxmlformats.org/officeDocument/2006/relationships" r:id="rId3"/>
          <a:extLst>
            <a:ext uri="{FF2B5EF4-FFF2-40B4-BE49-F238E27FC236}">
              <a16:creationId xmlns:a16="http://schemas.microsoft.com/office/drawing/2014/main" id="{F4488BFF-C64B-438A-80C0-8E8E47BFCFEC}"/>
            </a:ext>
          </a:extLst>
        </xdr:cNvPr>
        <xdr:cNvSpPr txBox="1"/>
      </xdr:nvSpPr>
      <xdr:spPr>
        <a:xfrm>
          <a:off x="14287500" y="85037"/>
          <a:ext cx="981075" cy="391213"/>
        </a:xfrm>
        <a:prstGeom prst="rect">
          <a:avLst/>
        </a:prstGeom>
        <a:solidFill>
          <a:srgbClr val="1013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lumMod val="85000"/>
                </a:schemeClr>
              </a:solidFill>
            </a:rPr>
            <a:t>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102053</xdr:colOff>
      <xdr:row>1</xdr:row>
      <xdr:rowOff>170090</xdr:rowOff>
    </xdr:from>
    <xdr:to>
      <xdr:col>27</xdr:col>
      <xdr:colOff>192767</xdr:colOff>
      <xdr:row>41</xdr:row>
      <xdr:rowOff>113393</xdr:rowOff>
    </xdr:to>
    <xdr:sp macro="" textlink="">
      <xdr:nvSpPr>
        <xdr:cNvPr id="2" name="Rectangle: Rounded Corners 1">
          <a:extLst>
            <a:ext uri="{FF2B5EF4-FFF2-40B4-BE49-F238E27FC236}">
              <a16:creationId xmlns:a16="http://schemas.microsoft.com/office/drawing/2014/main" id="{F85799C7-ED17-CFE2-41F3-5913E21FC37E}"/>
            </a:ext>
          </a:extLst>
        </xdr:cNvPr>
        <xdr:cNvSpPr/>
      </xdr:nvSpPr>
      <xdr:spPr>
        <a:xfrm>
          <a:off x="1318499" y="365180"/>
          <a:ext cx="15296286" cy="7746918"/>
        </a:xfrm>
        <a:prstGeom prst="roundRect">
          <a:avLst>
            <a:gd name="adj" fmla="val 1520"/>
          </a:avLst>
        </a:prstGeom>
        <a:solidFill>
          <a:srgbClr val="1619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385536</xdr:colOff>
      <xdr:row>4</xdr:row>
      <xdr:rowOff>124732</xdr:rowOff>
    </xdr:from>
    <xdr:to>
      <xdr:col>27</xdr:col>
      <xdr:colOff>172139</xdr:colOff>
      <xdr:row>40</xdr:row>
      <xdr:rowOff>34018</xdr:rowOff>
    </xdr:to>
    <xdr:sp macro="" textlink="">
      <xdr:nvSpPr>
        <xdr:cNvPr id="3" name="Rectangle: Rounded Corners 2">
          <a:extLst>
            <a:ext uri="{FF2B5EF4-FFF2-40B4-BE49-F238E27FC236}">
              <a16:creationId xmlns:a16="http://schemas.microsoft.com/office/drawing/2014/main" id="{8F828306-5274-A9F3-8692-06040BFFA998}"/>
            </a:ext>
          </a:extLst>
        </xdr:cNvPr>
        <xdr:cNvSpPr/>
      </xdr:nvSpPr>
      <xdr:spPr>
        <a:xfrm>
          <a:off x="3426650" y="905093"/>
          <a:ext cx="13167507" cy="6932539"/>
        </a:xfrm>
        <a:prstGeom prst="roundRect">
          <a:avLst>
            <a:gd name="adj" fmla="val 1111"/>
          </a:avLst>
        </a:prstGeom>
        <a:solidFill>
          <a:srgbClr val="1013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498929</xdr:colOff>
      <xdr:row>5</xdr:row>
      <xdr:rowOff>63955</xdr:rowOff>
    </xdr:from>
    <xdr:to>
      <xdr:col>8</xdr:col>
      <xdr:colOff>294822</xdr:colOff>
      <xdr:row>10</xdr:row>
      <xdr:rowOff>41275</xdr:rowOff>
    </xdr:to>
    <xdr:sp macro="" textlink="">
      <xdr:nvSpPr>
        <xdr:cNvPr id="4" name="Rectangle: Rounded Corners 3">
          <a:extLst>
            <a:ext uri="{FF2B5EF4-FFF2-40B4-BE49-F238E27FC236}">
              <a16:creationId xmlns:a16="http://schemas.microsoft.com/office/drawing/2014/main" id="{C4216F5C-C3DB-5B43-5FCE-6796F146DEC8}"/>
            </a:ext>
          </a:extLst>
        </xdr:cNvPr>
        <xdr:cNvSpPr/>
      </xdr:nvSpPr>
      <xdr:spPr>
        <a:xfrm>
          <a:off x="3560536" y="1027794"/>
          <a:ext cx="1632857" cy="941160"/>
        </a:xfrm>
        <a:prstGeom prst="roundRect">
          <a:avLst>
            <a:gd name="adj" fmla="val 13726"/>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564395</xdr:colOff>
      <xdr:row>5</xdr:row>
      <xdr:rowOff>63955</xdr:rowOff>
    </xdr:from>
    <xdr:to>
      <xdr:col>11</xdr:col>
      <xdr:colOff>360287</xdr:colOff>
      <xdr:row>10</xdr:row>
      <xdr:rowOff>41275</xdr:rowOff>
    </xdr:to>
    <xdr:sp macro="" textlink="">
      <xdr:nvSpPr>
        <xdr:cNvPr id="17" name="Rectangle: Rounded Corners 16">
          <a:extLst>
            <a:ext uri="{FF2B5EF4-FFF2-40B4-BE49-F238E27FC236}">
              <a16:creationId xmlns:a16="http://schemas.microsoft.com/office/drawing/2014/main" id="{6C54CB9F-076A-C12E-DA69-30B48CEE789C}"/>
            </a:ext>
          </a:extLst>
        </xdr:cNvPr>
        <xdr:cNvSpPr/>
      </xdr:nvSpPr>
      <xdr:spPr>
        <a:xfrm>
          <a:off x="5462966" y="1027794"/>
          <a:ext cx="1632857" cy="941160"/>
        </a:xfrm>
        <a:prstGeom prst="roundRect">
          <a:avLst>
            <a:gd name="adj" fmla="val 13726"/>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17539</xdr:colOff>
      <xdr:row>5</xdr:row>
      <xdr:rowOff>63955</xdr:rowOff>
    </xdr:from>
    <xdr:to>
      <xdr:col>14</xdr:col>
      <xdr:colOff>425753</xdr:colOff>
      <xdr:row>10</xdr:row>
      <xdr:rowOff>41275</xdr:rowOff>
    </xdr:to>
    <xdr:sp macro="" textlink="">
      <xdr:nvSpPr>
        <xdr:cNvPr id="18" name="Rectangle: Rounded Corners 17">
          <a:extLst>
            <a:ext uri="{FF2B5EF4-FFF2-40B4-BE49-F238E27FC236}">
              <a16:creationId xmlns:a16="http://schemas.microsoft.com/office/drawing/2014/main" id="{D1C2DAD9-8C6B-E051-D4DE-436C1929CC04}"/>
            </a:ext>
          </a:extLst>
        </xdr:cNvPr>
        <xdr:cNvSpPr/>
      </xdr:nvSpPr>
      <xdr:spPr>
        <a:xfrm>
          <a:off x="7316214" y="1039407"/>
          <a:ext cx="1624659" cy="952772"/>
        </a:xfrm>
        <a:prstGeom prst="roundRect">
          <a:avLst>
            <a:gd name="adj" fmla="val 13726"/>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83005</xdr:colOff>
      <xdr:row>5</xdr:row>
      <xdr:rowOff>63955</xdr:rowOff>
    </xdr:from>
    <xdr:to>
      <xdr:col>17</xdr:col>
      <xdr:colOff>491219</xdr:colOff>
      <xdr:row>10</xdr:row>
      <xdr:rowOff>41275</xdr:rowOff>
    </xdr:to>
    <xdr:sp macro="" textlink="">
      <xdr:nvSpPr>
        <xdr:cNvPr id="19" name="Rectangle: Rounded Corners 18">
          <a:extLst>
            <a:ext uri="{FF2B5EF4-FFF2-40B4-BE49-F238E27FC236}">
              <a16:creationId xmlns:a16="http://schemas.microsoft.com/office/drawing/2014/main" id="{E4512033-2A5A-A72F-D18F-4CF7EA3C09E8}"/>
            </a:ext>
          </a:extLst>
        </xdr:cNvPr>
        <xdr:cNvSpPr/>
      </xdr:nvSpPr>
      <xdr:spPr>
        <a:xfrm>
          <a:off x="9267826" y="1027794"/>
          <a:ext cx="1632857" cy="941160"/>
        </a:xfrm>
        <a:prstGeom prst="roundRect">
          <a:avLst>
            <a:gd name="adj" fmla="val 13726"/>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148470</xdr:colOff>
      <xdr:row>5</xdr:row>
      <xdr:rowOff>63955</xdr:rowOff>
    </xdr:from>
    <xdr:to>
      <xdr:col>20</xdr:col>
      <xdr:colOff>556684</xdr:colOff>
      <xdr:row>10</xdr:row>
      <xdr:rowOff>41275</xdr:rowOff>
    </xdr:to>
    <xdr:sp macro="" textlink="">
      <xdr:nvSpPr>
        <xdr:cNvPr id="20" name="Rectangle: Rounded Corners 19">
          <a:extLst>
            <a:ext uri="{FF2B5EF4-FFF2-40B4-BE49-F238E27FC236}">
              <a16:creationId xmlns:a16="http://schemas.microsoft.com/office/drawing/2014/main" id="{E96875CE-4886-7876-95FF-267D1CD7595A}"/>
            </a:ext>
          </a:extLst>
        </xdr:cNvPr>
        <xdr:cNvSpPr/>
      </xdr:nvSpPr>
      <xdr:spPr>
        <a:xfrm>
          <a:off x="11170256" y="1027794"/>
          <a:ext cx="1632857" cy="941160"/>
        </a:xfrm>
        <a:prstGeom prst="roundRect">
          <a:avLst>
            <a:gd name="adj" fmla="val 13726"/>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213936</xdr:colOff>
      <xdr:row>5</xdr:row>
      <xdr:rowOff>63955</xdr:rowOff>
    </xdr:from>
    <xdr:to>
      <xdr:col>24</xdr:col>
      <xdr:colOff>9829</xdr:colOff>
      <xdr:row>10</xdr:row>
      <xdr:rowOff>41275</xdr:rowOff>
    </xdr:to>
    <xdr:sp macro="" textlink="">
      <xdr:nvSpPr>
        <xdr:cNvPr id="21" name="Rectangle: Rounded Corners 20">
          <a:extLst>
            <a:ext uri="{FF2B5EF4-FFF2-40B4-BE49-F238E27FC236}">
              <a16:creationId xmlns:a16="http://schemas.microsoft.com/office/drawing/2014/main" id="{00D9CC88-E788-4970-3E5D-161CD073C62A}"/>
            </a:ext>
          </a:extLst>
        </xdr:cNvPr>
        <xdr:cNvSpPr/>
      </xdr:nvSpPr>
      <xdr:spPr>
        <a:xfrm>
          <a:off x="13072686" y="1027794"/>
          <a:ext cx="1632857" cy="941160"/>
        </a:xfrm>
        <a:prstGeom prst="roundRect">
          <a:avLst>
            <a:gd name="adj" fmla="val 13726"/>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24</xdr:col>
      <xdr:colOff>279401</xdr:colOff>
      <xdr:row>5</xdr:row>
      <xdr:rowOff>63955</xdr:rowOff>
    </xdr:from>
    <xdr:to>
      <xdr:col>27</xdr:col>
      <xdr:colOff>75293</xdr:colOff>
      <xdr:row>10</xdr:row>
      <xdr:rowOff>41275</xdr:rowOff>
    </xdr:to>
    <xdr:sp macro="" textlink="">
      <xdr:nvSpPr>
        <xdr:cNvPr id="22" name="Rectangle: Rounded Corners 21">
          <a:extLst>
            <a:ext uri="{FF2B5EF4-FFF2-40B4-BE49-F238E27FC236}">
              <a16:creationId xmlns:a16="http://schemas.microsoft.com/office/drawing/2014/main" id="{7C7CE8AA-0265-3DB9-2B24-91C143A29C4F}"/>
            </a:ext>
          </a:extLst>
        </xdr:cNvPr>
        <xdr:cNvSpPr/>
      </xdr:nvSpPr>
      <xdr:spPr>
        <a:xfrm>
          <a:off x="14975115" y="1027794"/>
          <a:ext cx="1632857" cy="941160"/>
        </a:xfrm>
        <a:prstGeom prst="roundRect">
          <a:avLst>
            <a:gd name="adj" fmla="val 13726"/>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378557</xdr:colOff>
      <xdr:row>11</xdr:row>
      <xdr:rowOff>48846</xdr:rowOff>
    </xdr:from>
    <xdr:to>
      <xdr:col>27</xdr:col>
      <xdr:colOff>259773</xdr:colOff>
      <xdr:row>11</xdr:row>
      <xdr:rowOff>61851</xdr:rowOff>
    </xdr:to>
    <xdr:cxnSp macro="">
      <xdr:nvCxnSpPr>
        <xdr:cNvPr id="6" name="Straight Connector 5">
          <a:extLst>
            <a:ext uri="{FF2B5EF4-FFF2-40B4-BE49-F238E27FC236}">
              <a16:creationId xmlns:a16="http://schemas.microsoft.com/office/drawing/2014/main" id="{A2456007-D673-5153-046E-3D002316C07E}"/>
            </a:ext>
          </a:extLst>
        </xdr:cNvPr>
        <xdr:cNvCxnSpPr/>
      </xdr:nvCxnSpPr>
      <xdr:spPr>
        <a:xfrm>
          <a:off x="3431442" y="2198077"/>
          <a:ext cx="13313908" cy="13005"/>
        </a:xfrm>
        <a:prstGeom prst="line">
          <a:avLst/>
        </a:prstGeom>
        <a:ln w="12700">
          <a:solidFill>
            <a:schemeClr val="bg2">
              <a:lumMod val="50000"/>
              <a:alpha val="23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517002</xdr:colOff>
      <xdr:row>12</xdr:row>
      <xdr:rowOff>1430</xdr:rowOff>
    </xdr:from>
    <xdr:to>
      <xdr:col>12</xdr:col>
      <xdr:colOff>439615</xdr:colOff>
      <xdr:row>25</xdr:row>
      <xdr:rowOff>117431</xdr:rowOff>
    </xdr:to>
    <xdr:sp macro="" textlink="">
      <xdr:nvSpPr>
        <xdr:cNvPr id="9" name="Rectangle: Rounded Corners 8">
          <a:extLst>
            <a:ext uri="{FF2B5EF4-FFF2-40B4-BE49-F238E27FC236}">
              <a16:creationId xmlns:a16="http://schemas.microsoft.com/office/drawing/2014/main" id="{00FDD2EA-4677-85C8-E71C-B6E885E27371}"/>
            </a:ext>
          </a:extLst>
        </xdr:cNvPr>
        <xdr:cNvSpPr/>
      </xdr:nvSpPr>
      <xdr:spPr>
        <a:xfrm>
          <a:off x="3558116" y="2342514"/>
          <a:ext cx="4180174" cy="2652176"/>
        </a:xfrm>
        <a:prstGeom prst="roundRect">
          <a:avLst>
            <a:gd name="adj" fmla="val 9608"/>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591115</xdr:colOff>
      <xdr:row>12</xdr:row>
      <xdr:rowOff>1430</xdr:rowOff>
    </xdr:from>
    <xdr:to>
      <xdr:col>19</xdr:col>
      <xdr:colOff>513728</xdr:colOff>
      <xdr:row>25</xdr:row>
      <xdr:rowOff>117431</xdr:rowOff>
    </xdr:to>
    <xdr:sp macro="" textlink="">
      <xdr:nvSpPr>
        <xdr:cNvPr id="13" name="Rectangle: Rounded Corners 12">
          <a:extLst>
            <a:ext uri="{FF2B5EF4-FFF2-40B4-BE49-F238E27FC236}">
              <a16:creationId xmlns:a16="http://schemas.microsoft.com/office/drawing/2014/main" id="{D80E09ED-F51F-BEC1-0882-DFC80F68F654}"/>
            </a:ext>
          </a:extLst>
        </xdr:cNvPr>
        <xdr:cNvSpPr/>
      </xdr:nvSpPr>
      <xdr:spPr>
        <a:xfrm>
          <a:off x="7852527" y="2287430"/>
          <a:ext cx="4158436" cy="2592501"/>
        </a:xfrm>
        <a:prstGeom prst="roundRect">
          <a:avLst>
            <a:gd name="adj" fmla="val 9608"/>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538922</xdr:colOff>
      <xdr:row>26</xdr:row>
      <xdr:rowOff>31179</xdr:rowOff>
    </xdr:from>
    <xdr:to>
      <xdr:col>12</xdr:col>
      <xdr:colOff>461535</xdr:colOff>
      <xdr:row>39</xdr:row>
      <xdr:rowOff>152399</xdr:rowOff>
    </xdr:to>
    <xdr:sp macro="" textlink="">
      <xdr:nvSpPr>
        <xdr:cNvPr id="14" name="Rectangle: Rounded Corners 13">
          <a:extLst>
            <a:ext uri="{FF2B5EF4-FFF2-40B4-BE49-F238E27FC236}">
              <a16:creationId xmlns:a16="http://schemas.microsoft.com/office/drawing/2014/main" id="{76046B49-4351-5428-4D0B-77EB1E9C2953}"/>
            </a:ext>
          </a:extLst>
        </xdr:cNvPr>
        <xdr:cNvSpPr/>
      </xdr:nvSpPr>
      <xdr:spPr>
        <a:xfrm>
          <a:off x="3605189" y="5119878"/>
          <a:ext cx="4215387" cy="2665569"/>
        </a:xfrm>
        <a:prstGeom prst="roundRect">
          <a:avLst>
            <a:gd name="adj" fmla="val 9608"/>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613035</xdr:colOff>
      <xdr:row>26</xdr:row>
      <xdr:rowOff>31179</xdr:rowOff>
    </xdr:from>
    <xdr:to>
      <xdr:col>19</xdr:col>
      <xdr:colOff>535648</xdr:colOff>
      <xdr:row>39</xdr:row>
      <xdr:rowOff>152399</xdr:rowOff>
    </xdr:to>
    <xdr:sp macro="" textlink="">
      <xdr:nvSpPr>
        <xdr:cNvPr id="15" name="Rectangle: Rounded Corners 14">
          <a:extLst>
            <a:ext uri="{FF2B5EF4-FFF2-40B4-BE49-F238E27FC236}">
              <a16:creationId xmlns:a16="http://schemas.microsoft.com/office/drawing/2014/main" id="{441E49E5-A6DF-E526-FC4F-3CFD5EFFAB71}"/>
            </a:ext>
          </a:extLst>
        </xdr:cNvPr>
        <xdr:cNvSpPr/>
      </xdr:nvSpPr>
      <xdr:spPr>
        <a:xfrm>
          <a:off x="7972076" y="5119878"/>
          <a:ext cx="4215387" cy="2665569"/>
        </a:xfrm>
        <a:prstGeom prst="roundRect">
          <a:avLst>
            <a:gd name="adj" fmla="val 9608"/>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39144</xdr:colOff>
      <xdr:row>12</xdr:row>
      <xdr:rowOff>27004</xdr:rowOff>
    </xdr:from>
    <xdr:to>
      <xdr:col>27</xdr:col>
      <xdr:colOff>92019</xdr:colOff>
      <xdr:row>39</xdr:row>
      <xdr:rowOff>152399</xdr:rowOff>
    </xdr:to>
    <xdr:sp macro="" textlink="">
      <xdr:nvSpPr>
        <xdr:cNvPr id="16" name="Rectangle: Rounded Corners 15">
          <a:extLst>
            <a:ext uri="{FF2B5EF4-FFF2-40B4-BE49-F238E27FC236}">
              <a16:creationId xmlns:a16="http://schemas.microsoft.com/office/drawing/2014/main" id="{B0D8A057-16B9-C202-E87E-D1A86D9F4684}"/>
            </a:ext>
          </a:extLst>
        </xdr:cNvPr>
        <xdr:cNvSpPr/>
      </xdr:nvSpPr>
      <xdr:spPr>
        <a:xfrm>
          <a:off x="12304212" y="2375634"/>
          <a:ext cx="4345649" cy="5409813"/>
        </a:xfrm>
        <a:prstGeom prst="roundRect">
          <a:avLst>
            <a:gd name="adj" fmla="val 6305"/>
          </a:avLst>
        </a:prstGeom>
        <a:solidFill>
          <a:srgbClr val="171A3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5</xdr:col>
      <xdr:colOff>498967</xdr:colOff>
      <xdr:row>5</xdr:row>
      <xdr:rowOff>109180</xdr:rowOff>
    </xdr:from>
    <xdr:to>
      <xdr:col>6</xdr:col>
      <xdr:colOff>504940</xdr:colOff>
      <xdr:row>8</xdr:row>
      <xdr:rowOff>88153</xdr:rowOff>
    </xdr:to>
    <xdr:pic>
      <xdr:nvPicPr>
        <xdr:cNvPr id="26" name="Picture 25">
          <a:extLst>
            <a:ext uri="{FF2B5EF4-FFF2-40B4-BE49-F238E27FC236}">
              <a16:creationId xmlns:a16="http://schemas.microsoft.com/office/drawing/2014/main" id="{A01A3FDE-B80A-4038-59AB-6F4EA92F01DD}"/>
            </a:ext>
          </a:extLst>
        </xdr:cNvPr>
        <xdr:cNvPicPr>
          <a:picLocks noChangeAspect="1"/>
        </xdr:cNvPicPr>
      </xdr:nvPicPr>
      <xdr:blipFill>
        <a:blip xmlns:r="http://schemas.openxmlformats.org/officeDocument/2006/relationships" r:embed="rId1" cstate="print">
          <a:alphaModFix amt="50000"/>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tretch>
          <a:fillRect/>
        </a:stretch>
      </xdr:blipFill>
      <xdr:spPr>
        <a:xfrm>
          <a:off x="3540081" y="1084632"/>
          <a:ext cx="614196" cy="564244"/>
        </a:xfrm>
        <a:prstGeom prst="rect">
          <a:avLst/>
        </a:prstGeom>
      </xdr:spPr>
    </xdr:pic>
    <xdr:clientData/>
  </xdr:twoCellAnchor>
  <xdr:twoCellAnchor editAs="oneCell">
    <xdr:from>
      <xdr:col>2</xdr:col>
      <xdr:colOff>63780</xdr:colOff>
      <xdr:row>35</xdr:row>
      <xdr:rowOff>68855</xdr:rowOff>
    </xdr:from>
    <xdr:to>
      <xdr:col>3</xdr:col>
      <xdr:colOff>309849</xdr:colOff>
      <xdr:row>39</xdr:row>
      <xdr:rowOff>68857</xdr:rowOff>
    </xdr:to>
    <xdr:pic>
      <xdr:nvPicPr>
        <xdr:cNvPr id="28" name="Picture 27">
          <a:extLst>
            <a:ext uri="{FF2B5EF4-FFF2-40B4-BE49-F238E27FC236}">
              <a16:creationId xmlns:a16="http://schemas.microsoft.com/office/drawing/2014/main" id="{E2355748-C92E-BC60-6076-7D44A864B0A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80226" y="6897018"/>
          <a:ext cx="854292" cy="780363"/>
        </a:xfrm>
        <a:prstGeom prst="rect">
          <a:avLst/>
        </a:prstGeom>
      </xdr:spPr>
    </xdr:pic>
    <xdr:clientData/>
  </xdr:twoCellAnchor>
  <xdr:twoCellAnchor editAs="oneCell">
    <xdr:from>
      <xdr:col>9</xdr:col>
      <xdr:colOff>13759</xdr:colOff>
      <xdr:row>5</xdr:row>
      <xdr:rowOff>109180</xdr:rowOff>
    </xdr:from>
    <xdr:to>
      <xdr:col>10</xdr:col>
      <xdr:colOff>0</xdr:colOff>
      <xdr:row>8</xdr:row>
      <xdr:rowOff>90807</xdr:rowOff>
    </xdr:to>
    <xdr:pic>
      <xdr:nvPicPr>
        <xdr:cNvPr id="30" name="Picture 29">
          <a:extLst>
            <a:ext uri="{FF2B5EF4-FFF2-40B4-BE49-F238E27FC236}">
              <a16:creationId xmlns:a16="http://schemas.microsoft.com/office/drawing/2014/main" id="{14580025-87B8-376C-DCB1-75D1358D95FB}"/>
            </a:ext>
          </a:extLst>
        </xdr:cNvPr>
        <xdr:cNvPicPr>
          <a:picLocks noChangeAspect="1"/>
        </xdr:cNvPicPr>
      </xdr:nvPicPr>
      <xdr:blipFill>
        <a:blip xmlns:r="http://schemas.openxmlformats.org/officeDocument/2006/relationships" r:embed="rId4" cstate="print">
          <a:alphaModFix/>
          <a:extLst>
            <a:ext uri="{BEBA8EAE-BF5A-486C-A8C5-ECC9F3942E4B}">
              <a14:imgProps xmlns:a14="http://schemas.microsoft.com/office/drawing/2010/main">
                <a14:imgLayer r:embed="rId5">
                  <a14:imgEffect>
                    <a14:saturation sat="0"/>
                  </a14:imgEffect>
                </a14:imgLayer>
              </a14:imgProps>
            </a:ext>
            <a:ext uri="{28A0092B-C50C-407E-A947-70E740481C1C}">
              <a14:useLocalDpi xmlns:a14="http://schemas.microsoft.com/office/drawing/2010/main" val="0"/>
            </a:ext>
          </a:extLst>
        </a:blip>
        <a:stretch>
          <a:fillRect/>
        </a:stretch>
      </xdr:blipFill>
      <xdr:spPr>
        <a:xfrm>
          <a:off x="5487765" y="1084632"/>
          <a:ext cx="594464" cy="566898"/>
        </a:xfrm>
        <a:prstGeom prst="rect">
          <a:avLst/>
        </a:prstGeom>
      </xdr:spPr>
    </xdr:pic>
    <xdr:clientData/>
  </xdr:twoCellAnchor>
  <xdr:twoCellAnchor editAs="oneCell">
    <xdr:from>
      <xdr:col>15</xdr:col>
      <xdr:colOff>85672</xdr:colOff>
      <xdr:row>5</xdr:row>
      <xdr:rowOff>109180</xdr:rowOff>
    </xdr:from>
    <xdr:to>
      <xdr:col>16</xdr:col>
      <xdr:colOff>91806</xdr:colOff>
      <xdr:row>7</xdr:row>
      <xdr:rowOff>184515</xdr:rowOff>
    </xdr:to>
    <xdr:pic>
      <xdr:nvPicPr>
        <xdr:cNvPr id="32" name="Picture 31">
          <a:extLst>
            <a:ext uri="{FF2B5EF4-FFF2-40B4-BE49-F238E27FC236}">
              <a16:creationId xmlns:a16="http://schemas.microsoft.com/office/drawing/2014/main" id="{4F555F8C-7481-4F35-26B9-860877FFD71F}"/>
            </a:ext>
          </a:extLst>
        </xdr:cNvPr>
        <xdr:cNvPicPr>
          <a:picLocks noChangeAspect="1"/>
        </xdr:cNvPicPr>
      </xdr:nvPicPr>
      <xdr:blipFill>
        <a:blip xmlns:r="http://schemas.openxmlformats.org/officeDocument/2006/relationships" r:embed="rId6" cstate="print">
          <a:alphaModFix amt="50000"/>
          <a:extLst>
            <a:ext uri="{BEBA8EAE-BF5A-486C-A8C5-ECC9F3942E4B}">
              <a14:imgProps xmlns:a14="http://schemas.microsoft.com/office/drawing/2010/main">
                <a14:imgLayer r:embed="rId7">
                  <a14:imgEffect>
                    <a14:saturation sat="0"/>
                  </a14:imgEffect>
                </a14:imgLayer>
              </a14:imgProps>
            </a:ext>
            <a:ext uri="{28A0092B-C50C-407E-A947-70E740481C1C}">
              <a14:useLocalDpi xmlns:a14="http://schemas.microsoft.com/office/drawing/2010/main" val="0"/>
            </a:ext>
          </a:extLst>
        </a:blip>
        <a:stretch>
          <a:fillRect/>
        </a:stretch>
      </xdr:blipFill>
      <xdr:spPr>
        <a:xfrm>
          <a:off x="9209015" y="1084632"/>
          <a:ext cx="614357" cy="465516"/>
        </a:xfrm>
        <a:prstGeom prst="rect">
          <a:avLst/>
        </a:prstGeom>
      </xdr:spPr>
    </xdr:pic>
    <xdr:clientData/>
  </xdr:twoCellAnchor>
  <xdr:twoCellAnchor editAs="oneCell">
    <xdr:from>
      <xdr:col>18</xdr:col>
      <xdr:colOff>223969</xdr:colOff>
      <xdr:row>5</xdr:row>
      <xdr:rowOff>109180</xdr:rowOff>
    </xdr:from>
    <xdr:to>
      <xdr:col>19</xdr:col>
      <xdr:colOff>195090</xdr:colOff>
      <xdr:row>8</xdr:row>
      <xdr:rowOff>30413</xdr:rowOff>
    </xdr:to>
    <xdr:pic>
      <xdr:nvPicPr>
        <xdr:cNvPr id="34" name="Picture 33">
          <a:extLst>
            <a:ext uri="{FF2B5EF4-FFF2-40B4-BE49-F238E27FC236}">
              <a16:creationId xmlns:a16="http://schemas.microsoft.com/office/drawing/2014/main" id="{FD58D0A6-DBD1-54A4-3068-7948B8C2A34E}"/>
            </a:ext>
          </a:extLst>
        </xdr:cNvPr>
        <xdr:cNvPicPr>
          <a:picLocks noChangeAspect="1"/>
        </xdr:cNvPicPr>
      </xdr:nvPicPr>
      <xdr:blipFill>
        <a:blip xmlns:r="http://schemas.openxmlformats.org/officeDocument/2006/relationships" r:embed="rId8" cstate="print">
          <a:alphaModFix amt="50000"/>
          <a:extLst>
            <a:ext uri="{BEBA8EAE-BF5A-486C-A8C5-ECC9F3942E4B}">
              <a14:imgProps xmlns:a14="http://schemas.microsoft.com/office/drawing/2010/main">
                <a14:imgLayer r:embed="rId9">
                  <a14:imgEffect>
                    <a14:saturation sat="0"/>
                  </a14:imgEffect>
                </a14:imgLayer>
              </a14:imgProps>
            </a:ext>
            <a:ext uri="{28A0092B-C50C-407E-A947-70E740481C1C}">
              <a14:useLocalDpi xmlns:a14="http://schemas.microsoft.com/office/drawing/2010/main" val="0"/>
            </a:ext>
          </a:extLst>
        </a:blip>
        <a:stretch>
          <a:fillRect/>
        </a:stretch>
      </xdr:blipFill>
      <xdr:spPr>
        <a:xfrm>
          <a:off x="11171981" y="1084632"/>
          <a:ext cx="579344" cy="506504"/>
        </a:xfrm>
        <a:prstGeom prst="rect">
          <a:avLst/>
        </a:prstGeom>
      </xdr:spPr>
    </xdr:pic>
    <xdr:clientData/>
  </xdr:twoCellAnchor>
  <xdr:twoCellAnchor editAs="oneCell">
    <xdr:from>
      <xdr:col>21</xdr:col>
      <xdr:colOff>230296</xdr:colOff>
      <xdr:row>5</xdr:row>
      <xdr:rowOff>109180</xdr:rowOff>
    </xdr:from>
    <xdr:to>
      <xdr:col>22</xdr:col>
      <xdr:colOff>275421</xdr:colOff>
      <xdr:row>8</xdr:row>
      <xdr:rowOff>103283</xdr:rowOff>
    </xdr:to>
    <xdr:pic>
      <xdr:nvPicPr>
        <xdr:cNvPr id="36" name="Picture 35">
          <a:extLst>
            <a:ext uri="{FF2B5EF4-FFF2-40B4-BE49-F238E27FC236}">
              <a16:creationId xmlns:a16="http://schemas.microsoft.com/office/drawing/2014/main" id="{1CF85519-5015-20E1-BF04-1B9261C5E584}"/>
            </a:ext>
          </a:extLst>
        </xdr:cNvPr>
        <xdr:cNvPicPr>
          <a:picLocks noChangeAspect="1"/>
        </xdr:cNvPicPr>
      </xdr:nvPicPr>
      <xdr:blipFill>
        <a:blip xmlns:r="http://schemas.openxmlformats.org/officeDocument/2006/relationships" r:embed="rId10" cstate="print">
          <a:alphaModFix amt="50000"/>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a:off x="13002977" y="1084632"/>
          <a:ext cx="653348" cy="579374"/>
        </a:xfrm>
        <a:prstGeom prst="rect">
          <a:avLst/>
        </a:prstGeom>
      </xdr:spPr>
    </xdr:pic>
    <xdr:clientData/>
  </xdr:twoCellAnchor>
  <xdr:twoCellAnchor editAs="oneCell">
    <xdr:from>
      <xdr:col>2</xdr:col>
      <xdr:colOff>221229</xdr:colOff>
      <xdr:row>2</xdr:row>
      <xdr:rowOff>82316</xdr:rowOff>
    </xdr:from>
    <xdr:to>
      <xdr:col>3</xdr:col>
      <xdr:colOff>63242</xdr:colOff>
      <xdr:row>4</xdr:row>
      <xdr:rowOff>93071</xdr:rowOff>
    </xdr:to>
    <xdr:pic>
      <xdr:nvPicPr>
        <xdr:cNvPr id="38" name="Picture 37">
          <a:extLst>
            <a:ext uri="{FF2B5EF4-FFF2-40B4-BE49-F238E27FC236}">
              <a16:creationId xmlns:a16="http://schemas.microsoft.com/office/drawing/2014/main" id="{FE4BA341-9B41-5544-FECC-992CB026E78F}"/>
            </a:ext>
          </a:extLst>
        </xdr:cNvPr>
        <xdr:cNvPicPr>
          <a:picLocks noChangeAspect="1"/>
        </xdr:cNvPicPr>
      </xdr:nvPicPr>
      <xdr:blipFill>
        <a:blip xmlns:r="http://schemas.openxmlformats.org/officeDocument/2006/relationships" r:embed="rId12" cstate="print">
          <a:alphaModFix amt="60000"/>
          <a:extLst>
            <a:ext uri="{BEBA8EAE-BF5A-486C-A8C5-ECC9F3942E4B}">
              <a14:imgProps xmlns:a14="http://schemas.microsoft.com/office/drawing/2010/main">
                <a14:imgLayer r:embed="rId13">
                  <a14:imgEffect>
                    <a14:saturation sat="0"/>
                  </a14:imgEffect>
                </a14:imgLayer>
              </a14:imgProps>
            </a:ext>
            <a:ext uri="{28A0092B-C50C-407E-A947-70E740481C1C}">
              <a14:useLocalDpi xmlns:a14="http://schemas.microsoft.com/office/drawing/2010/main" val="0"/>
            </a:ext>
          </a:extLst>
        </a:blip>
        <a:stretch>
          <a:fillRect/>
        </a:stretch>
      </xdr:blipFill>
      <xdr:spPr>
        <a:xfrm>
          <a:off x="1444192" y="458612"/>
          <a:ext cx="453494" cy="387052"/>
        </a:xfrm>
        <a:prstGeom prst="rect">
          <a:avLst/>
        </a:prstGeom>
      </xdr:spPr>
    </xdr:pic>
    <xdr:clientData/>
  </xdr:twoCellAnchor>
  <xdr:twoCellAnchor editAs="oneCell">
    <xdr:from>
      <xdr:col>2</xdr:col>
      <xdr:colOff>252993</xdr:colOff>
      <xdr:row>30</xdr:row>
      <xdr:rowOff>138970</xdr:rowOff>
    </xdr:from>
    <xdr:to>
      <xdr:col>3</xdr:col>
      <xdr:colOff>89946</xdr:colOff>
      <xdr:row>33</xdr:row>
      <xdr:rowOff>12185</xdr:rowOff>
    </xdr:to>
    <xdr:pic>
      <xdr:nvPicPr>
        <xdr:cNvPr id="40" name="Picture 39">
          <a:extLst>
            <a:ext uri="{FF2B5EF4-FFF2-40B4-BE49-F238E27FC236}">
              <a16:creationId xmlns:a16="http://schemas.microsoft.com/office/drawing/2014/main" id="{A5769C7E-F27C-2F54-6209-77CB3FE027B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469439" y="5991681"/>
          <a:ext cx="445176" cy="458486"/>
        </a:xfrm>
        <a:prstGeom prst="rect">
          <a:avLst/>
        </a:prstGeom>
      </xdr:spPr>
    </xdr:pic>
    <xdr:clientData/>
  </xdr:twoCellAnchor>
  <xdr:twoCellAnchor editAs="oneCell">
    <xdr:from>
      <xdr:col>12</xdr:col>
      <xdr:colOff>82744</xdr:colOff>
      <xdr:row>5</xdr:row>
      <xdr:rowOff>109180</xdr:rowOff>
    </xdr:from>
    <xdr:to>
      <xdr:col>13</xdr:col>
      <xdr:colOff>11475</xdr:colOff>
      <xdr:row>8</xdr:row>
      <xdr:rowOff>48986</xdr:rowOff>
    </xdr:to>
    <xdr:pic>
      <xdr:nvPicPr>
        <xdr:cNvPr id="42" name="Picture 41">
          <a:extLst>
            <a:ext uri="{FF2B5EF4-FFF2-40B4-BE49-F238E27FC236}">
              <a16:creationId xmlns:a16="http://schemas.microsoft.com/office/drawing/2014/main" id="{876061D5-A0F1-58DA-53F4-3E3426567790}"/>
            </a:ext>
          </a:extLst>
        </xdr:cNvPr>
        <xdr:cNvPicPr>
          <a:picLocks noChangeAspect="1"/>
        </xdr:cNvPicPr>
      </xdr:nvPicPr>
      <xdr:blipFill>
        <a:blip xmlns:r="http://schemas.openxmlformats.org/officeDocument/2006/relationships" r:embed="rId15" cstate="print">
          <a:alphaModFix amt="50000"/>
          <a:extLst>
            <a:ext uri="{BEBA8EAE-BF5A-486C-A8C5-ECC9F3942E4B}">
              <a14:imgProps xmlns:a14="http://schemas.microsoft.com/office/drawing/2010/main">
                <a14:imgLayer r:embed="rId16">
                  <a14:imgEffect>
                    <a14:saturation sat="0"/>
                  </a14:imgEffect>
                </a14:imgLayer>
              </a14:imgProps>
            </a:ext>
            <a:ext uri="{28A0092B-C50C-407E-A947-70E740481C1C}">
              <a14:useLocalDpi xmlns:a14="http://schemas.microsoft.com/office/drawing/2010/main" val="0"/>
            </a:ext>
          </a:extLst>
        </a:blip>
        <a:stretch>
          <a:fillRect/>
        </a:stretch>
      </xdr:blipFill>
      <xdr:spPr>
        <a:xfrm>
          <a:off x="7381419" y="1084632"/>
          <a:ext cx="536954" cy="525077"/>
        </a:xfrm>
        <a:prstGeom prst="rect">
          <a:avLst/>
        </a:prstGeom>
      </xdr:spPr>
    </xdr:pic>
    <xdr:clientData/>
  </xdr:twoCellAnchor>
  <xdr:twoCellAnchor editAs="oneCell">
    <xdr:from>
      <xdr:col>24</xdr:col>
      <xdr:colOff>11476</xdr:colOff>
      <xdr:row>5</xdr:row>
      <xdr:rowOff>109180</xdr:rowOff>
    </xdr:from>
    <xdr:to>
      <xdr:col>25</xdr:col>
      <xdr:colOff>562320</xdr:colOff>
      <xdr:row>8</xdr:row>
      <xdr:rowOff>135870</xdr:rowOff>
    </xdr:to>
    <xdr:pic>
      <xdr:nvPicPr>
        <xdr:cNvPr id="44" name="Picture 43">
          <a:extLst>
            <a:ext uri="{FF2B5EF4-FFF2-40B4-BE49-F238E27FC236}">
              <a16:creationId xmlns:a16="http://schemas.microsoft.com/office/drawing/2014/main" id="{98D854CB-4796-857B-A224-8490D825C539}"/>
            </a:ext>
          </a:extLst>
        </xdr:cNvPr>
        <xdr:cNvPicPr>
          <a:picLocks noChangeAspect="1"/>
        </xdr:cNvPicPr>
      </xdr:nvPicPr>
      <xdr:blipFill>
        <a:blip xmlns:r="http://schemas.openxmlformats.org/officeDocument/2006/relationships" r:embed="rId17" cstate="print">
          <a:alphaModFix amt="50000"/>
          <a:extLst>
            <a:ext uri="{BEBA8EAE-BF5A-486C-A8C5-ECC9F3942E4B}">
              <a14:imgProps xmlns:a14="http://schemas.microsoft.com/office/drawing/2010/main">
                <a14:imgLayer r:embed="rId18">
                  <a14:imgEffect>
                    <a14:saturation sat="0"/>
                  </a14:imgEffect>
                </a14:imgLayer>
              </a14:imgProps>
            </a:ext>
            <a:ext uri="{28A0092B-C50C-407E-A947-70E740481C1C}">
              <a14:useLocalDpi xmlns:a14="http://schemas.microsoft.com/office/drawing/2010/main" val="0"/>
            </a:ext>
          </a:extLst>
        </a:blip>
        <a:stretch>
          <a:fillRect/>
        </a:stretch>
      </xdr:blipFill>
      <xdr:spPr>
        <a:xfrm>
          <a:off x="14608825" y="1084632"/>
          <a:ext cx="1159067" cy="611961"/>
        </a:xfrm>
        <a:prstGeom prst="rect">
          <a:avLst/>
        </a:prstGeom>
      </xdr:spPr>
    </xdr:pic>
    <xdr:clientData/>
  </xdr:twoCellAnchor>
  <xdr:twoCellAnchor>
    <xdr:from>
      <xdr:col>2</xdr:col>
      <xdr:colOff>586263</xdr:colOff>
      <xdr:row>2</xdr:row>
      <xdr:rowOff>92940</xdr:rowOff>
    </xdr:from>
    <xdr:to>
      <xdr:col>9</xdr:col>
      <xdr:colOff>60356</xdr:colOff>
      <xdr:row>4</xdr:row>
      <xdr:rowOff>45902</xdr:rowOff>
    </xdr:to>
    <xdr:sp macro="" textlink="">
      <xdr:nvSpPr>
        <xdr:cNvPr id="45" name="TextBox 44">
          <a:extLst>
            <a:ext uri="{FF2B5EF4-FFF2-40B4-BE49-F238E27FC236}">
              <a16:creationId xmlns:a16="http://schemas.microsoft.com/office/drawing/2014/main" id="{50BCB2DA-FEAC-9499-13B2-7E1F696A2515}"/>
            </a:ext>
          </a:extLst>
        </xdr:cNvPr>
        <xdr:cNvSpPr txBox="1"/>
      </xdr:nvSpPr>
      <xdr:spPr>
        <a:xfrm>
          <a:off x="1802709" y="483121"/>
          <a:ext cx="3731653" cy="343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lumMod val="85000"/>
                </a:schemeClr>
              </a:solidFill>
            </a:rPr>
            <a:t>Investment</a:t>
          </a:r>
          <a:r>
            <a:rPr lang="en-US" sz="2000" b="1" baseline="0">
              <a:solidFill>
                <a:schemeClr val="bg1">
                  <a:lumMod val="85000"/>
                </a:schemeClr>
              </a:solidFill>
            </a:rPr>
            <a:t> Analytics</a:t>
          </a:r>
          <a:endParaRPr lang="en-NG" sz="2000" b="1">
            <a:solidFill>
              <a:schemeClr val="bg1">
                <a:lumMod val="85000"/>
              </a:schemeClr>
            </a:solidFill>
          </a:endParaRPr>
        </a:p>
      </xdr:txBody>
    </xdr:sp>
    <xdr:clientData/>
  </xdr:twoCellAnchor>
  <xdr:twoCellAnchor>
    <xdr:from>
      <xdr:col>7</xdr:col>
      <xdr:colOff>11476</xdr:colOff>
      <xdr:row>8</xdr:row>
      <xdr:rowOff>45903</xdr:rowOff>
    </xdr:from>
    <xdr:to>
      <xdr:col>9</xdr:col>
      <xdr:colOff>68855</xdr:colOff>
      <xdr:row>10</xdr:row>
      <xdr:rowOff>68855</xdr:rowOff>
    </xdr:to>
    <xdr:sp macro="" textlink="">
      <xdr:nvSpPr>
        <xdr:cNvPr id="46" name="TextBox 45">
          <a:extLst>
            <a:ext uri="{FF2B5EF4-FFF2-40B4-BE49-F238E27FC236}">
              <a16:creationId xmlns:a16="http://schemas.microsoft.com/office/drawing/2014/main" id="{CC8D6B0E-02C2-9D59-1D3C-12379B0A076D}"/>
            </a:ext>
          </a:extLst>
        </xdr:cNvPr>
        <xdr:cNvSpPr txBox="1"/>
      </xdr:nvSpPr>
      <xdr:spPr>
        <a:xfrm>
          <a:off x="4269036" y="1606626"/>
          <a:ext cx="1273825" cy="41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85000"/>
                </a:schemeClr>
              </a:solidFill>
            </a:rPr>
            <a:t>Gold</a:t>
          </a:r>
          <a:endParaRPr lang="en-NG" sz="2000" b="1">
            <a:solidFill>
              <a:schemeClr val="bg1">
                <a:lumMod val="85000"/>
              </a:schemeClr>
            </a:solidFill>
          </a:endParaRPr>
        </a:p>
      </xdr:txBody>
    </xdr:sp>
    <xdr:clientData/>
  </xdr:twoCellAnchor>
  <xdr:twoCellAnchor>
    <xdr:from>
      <xdr:col>9</xdr:col>
      <xdr:colOff>599960</xdr:colOff>
      <xdr:row>8</xdr:row>
      <xdr:rowOff>49116</xdr:rowOff>
    </xdr:from>
    <xdr:to>
      <xdr:col>12</xdr:col>
      <xdr:colOff>49116</xdr:colOff>
      <xdr:row>10</xdr:row>
      <xdr:rowOff>72068</xdr:rowOff>
    </xdr:to>
    <xdr:sp macro="" textlink="">
      <xdr:nvSpPr>
        <xdr:cNvPr id="47" name="TextBox 46">
          <a:extLst>
            <a:ext uri="{FF2B5EF4-FFF2-40B4-BE49-F238E27FC236}">
              <a16:creationId xmlns:a16="http://schemas.microsoft.com/office/drawing/2014/main" id="{8214AB6B-EAA5-6468-1B62-631C2C254E78}"/>
            </a:ext>
          </a:extLst>
        </xdr:cNvPr>
        <xdr:cNvSpPr txBox="1"/>
      </xdr:nvSpPr>
      <xdr:spPr>
        <a:xfrm>
          <a:off x="6073966" y="1609839"/>
          <a:ext cx="1273825" cy="41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Bonds</a:t>
          </a:r>
        </a:p>
      </xdr:txBody>
    </xdr:sp>
    <xdr:clientData/>
  </xdr:twoCellAnchor>
  <xdr:twoCellAnchor>
    <xdr:from>
      <xdr:col>12</xdr:col>
      <xdr:colOff>109710</xdr:colOff>
      <xdr:row>8</xdr:row>
      <xdr:rowOff>52329</xdr:rowOff>
    </xdr:from>
    <xdr:to>
      <xdr:col>14</xdr:col>
      <xdr:colOff>355754</xdr:colOff>
      <xdr:row>10</xdr:row>
      <xdr:rowOff>75281</xdr:rowOff>
    </xdr:to>
    <xdr:sp macro="" textlink="">
      <xdr:nvSpPr>
        <xdr:cNvPr id="48" name="TextBox 47">
          <a:extLst>
            <a:ext uri="{FF2B5EF4-FFF2-40B4-BE49-F238E27FC236}">
              <a16:creationId xmlns:a16="http://schemas.microsoft.com/office/drawing/2014/main" id="{71E2DB7F-A9FA-F832-3A33-1606FBC12DA3}"/>
            </a:ext>
          </a:extLst>
        </xdr:cNvPr>
        <xdr:cNvSpPr txBox="1"/>
      </xdr:nvSpPr>
      <xdr:spPr>
        <a:xfrm>
          <a:off x="7408385" y="1613052"/>
          <a:ext cx="1462489" cy="41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95000"/>
                </a:schemeClr>
              </a:solidFill>
            </a:rPr>
            <a:t>Mutual</a:t>
          </a:r>
          <a:r>
            <a:rPr lang="en-US" sz="1800" b="1" baseline="0">
              <a:solidFill>
                <a:schemeClr val="bg1">
                  <a:lumMod val="95000"/>
                </a:schemeClr>
              </a:solidFill>
            </a:rPr>
            <a:t> funds</a:t>
          </a:r>
          <a:endParaRPr lang="en-NG" sz="1800" b="1">
            <a:solidFill>
              <a:schemeClr val="bg1">
                <a:lumMod val="95000"/>
              </a:schemeClr>
            </a:solidFill>
          </a:endParaRPr>
        </a:p>
      </xdr:txBody>
    </xdr:sp>
    <xdr:clientData/>
  </xdr:twoCellAnchor>
  <xdr:twoCellAnchor>
    <xdr:from>
      <xdr:col>15</xdr:col>
      <xdr:colOff>285062</xdr:colOff>
      <xdr:row>8</xdr:row>
      <xdr:rowOff>21114</xdr:rowOff>
    </xdr:from>
    <xdr:to>
      <xdr:col>17</xdr:col>
      <xdr:colOff>413133</xdr:colOff>
      <xdr:row>10</xdr:row>
      <xdr:rowOff>44066</xdr:rowOff>
    </xdr:to>
    <xdr:sp macro="" textlink="">
      <xdr:nvSpPr>
        <xdr:cNvPr id="49" name="TextBox 48">
          <a:extLst>
            <a:ext uri="{FF2B5EF4-FFF2-40B4-BE49-F238E27FC236}">
              <a16:creationId xmlns:a16="http://schemas.microsoft.com/office/drawing/2014/main" id="{FBFD59D6-4C9B-1A0D-3BB8-941D74DBBC74}"/>
            </a:ext>
          </a:extLst>
        </xdr:cNvPr>
        <xdr:cNvSpPr txBox="1"/>
      </xdr:nvSpPr>
      <xdr:spPr>
        <a:xfrm>
          <a:off x="9408405" y="1581837"/>
          <a:ext cx="1344517" cy="41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Debentures</a:t>
          </a:r>
          <a:endParaRPr lang="en-NG" sz="1800" b="1">
            <a:solidFill>
              <a:schemeClr val="bg1">
                <a:lumMod val="85000"/>
              </a:schemeClr>
            </a:solidFill>
          </a:endParaRPr>
        </a:p>
      </xdr:txBody>
    </xdr:sp>
    <xdr:clientData/>
  </xdr:twoCellAnchor>
  <xdr:twoCellAnchor>
    <xdr:from>
      <xdr:col>19</xdr:col>
      <xdr:colOff>139087</xdr:colOff>
      <xdr:row>8</xdr:row>
      <xdr:rowOff>47280</xdr:rowOff>
    </xdr:from>
    <xdr:to>
      <xdr:col>21</xdr:col>
      <xdr:colOff>196466</xdr:colOff>
      <xdr:row>10</xdr:row>
      <xdr:rowOff>70232</xdr:rowOff>
    </xdr:to>
    <xdr:sp macro="" textlink="">
      <xdr:nvSpPr>
        <xdr:cNvPr id="50" name="TextBox 49">
          <a:extLst>
            <a:ext uri="{FF2B5EF4-FFF2-40B4-BE49-F238E27FC236}">
              <a16:creationId xmlns:a16="http://schemas.microsoft.com/office/drawing/2014/main" id="{A2E3331C-E60E-936A-10AB-8E63C9BE2B2B}"/>
            </a:ext>
          </a:extLst>
        </xdr:cNvPr>
        <xdr:cNvSpPr txBox="1"/>
      </xdr:nvSpPr>
      <xdr:spPr>
        <a:xfrm>
          <a:off x="11695322" y="1608003"/>
          <a:ext cx="1273825" cy="41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Equity</a:t>
          </a:r>
          <a:endParaRPr lang="en-NG" sz="1800" b="1">
            <a:solidFill>
              <a:schemeClr val="bg1">
                <a:lumMod val="85000"/>
              </a:schemeClr>
            </a:solidFill>
          </a:endParaRPr>
        </a:p>
      </xdr:txBody>
    </xdr:sp>
    <xdr:clientData/>
  </xdr:twoCellAnchor>
  <xdr:twoCellAnchor>
    <xdr:from>
      <xdr:col>21</xdr:col>
      <xdr:colOff>257060</xdr:colOff>
      <xdr:row>8</xdr:row>
      <xdr:rowOff>39017</xdr:rowOff>
    </xdr:from>
    <xdr:to>
      <xdr:col>24</xdr:col>
      <xdr:colOff>11476</xdr:colOff>
      <xdr:row>10</xdr:row>
      <xdr:rowOff>61969</xdr:rowOff>
    </xdr:to>
    <xdr:sp macro="" textlink="">
      <xdr:nvSpPr>
        <xdr:cNvPr id="51" name="TextBox 50">
          <a:extLst>
            <a:ext uri="{FF2B5EF4-FFF2-40B4-BE49-F238E27FC236}">
              <a16:creationId xmlns:a16="http://schemas.microsoft.com/office/drawing/2014/main" id="{094BC719-5007-D082-F7E7-08E1DAF53A29}"/>
            </a:ext>
          </a:extLst>
        </xdr:cNvPr>
        <xdr:cNvSpPr txBox="1"/>
      </xdr:nvSpPr>
      <xdr:spPr>
        <a:xfrm>
          <a:off x="13029741" y="1599740"/>
          <a:ext cx="1579084" cy="41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85000"/>
                </a:schemeClr>
              </a:solidFill>
            </a:rPr>
            <a:t>Fixed</a:t>
          </a:r>
          <a:r>
            <a:rPr lang="en-US" sz="1800" b="1" baseline="0">
              <a:solidFill>
                <a:schemeClr val="bg1">
                  <a:lumMod val="85000"/>
                </a:schemeClr>
              </a:solidFill>
            </a:rPr>
            <a:t> Deposits</a:t>
          </a:r>
          <a:endParaRPr lang="en-NG" sz="1800" b="1">
            <a:solidFill>
              <a:schemeClr val="bg1">
                <a:lumMod val="85000"/>
              </a:schemeClr>
            </a:solidFill>
          </a:endParaRPr>
        </a:p>
      </xdr:txBody>
    </xdr:sp>
    <xdr:clientData/>
  </xdr:twoCellAnchor>
  <xdr:twoCellAnchor>
    <xdr:from>
      <xdr:col>25</xdr:col>
      <xdr:colOff>332801</xdr:colOff>
      <xdr:row>7</xdr:row>
      <xdr:rowOff>179940</xdr:rowOff>
    </xdr:from>
    <xdr:to>
      <xdr:col>27</xdr:col>
      <xdr:colOff>489792</xdr:colOff>
      <xdr:row>10</xdr:row>
      <xdr:rowOff>7802</xdr:rowOff>
    </xdr:to>
    <xdr:sp macro="" textlink="">
      <xdr:nvSpPr>
        <xdr:cNvPr id="52" name="TextBox 51">
          <a:extLst>
            <a:ext uri="{FF2B5EF4-FFF2-40B4-BE49-F238E27FC236}">
              <a16:creationId xmlns:a16="http://schemas.microsoft.com/office/drawing/2014/main" id="{9D3893B3-0381-C5C5-F036-190A83B094A3}"/>
            </a:ext>
          </a:extLst>
        </xdr:cNvPr>
        <xdr:cNvSpPr txBox="1"/>
      </xdr:nvSpPr>
      <xdr:spPr>
        <a:xfrm>
          <a:off x="15538373" y="1545573"/>
          <a:ext cx="1373437" cy="41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85000"/>
                </a:schemeClr>
              </a:solidFill>
            </a:rPr>
            <a:t>PPF</a:t>
          </a:r>
          <a:endParaRPr lang="en-NG" sz="2000" b="1">
            <a:solidFill>
              <a:schemeClr val="bg1">
                <a:lumMod val="85000"/>
              </a:schemeClr>
            </a:solidFill>
          </a:endParaRPr>
        </a:p>
      </xdr:txBody>
    </xdr:sp>
    <xdr:clientData/>
  </xdr:twoCellAnchor>
  <xdr:twoCellAnchor>
    <xdr:from>
      <xdr:col>7</xdr:col>
      <xdr:colOff>68854</xdr:colOff>
      <xdr:row>5</xdr:row>
      <xdr:rowOff>103283</xdr:rowOff>
    </xdr:from>
    <xdr:to>
      <xdr:col>8</xdr:col>
      <xdr:colOff>378703</xdr:colOff>
      <xdr:row>7</xdr:row>
      <xdr:rowOff>183615</xdr:rowOff>
    </xdr:to>
    <xdr:sp macro="" textlink="">
      <xdr:nvSpPr>
        <xdr:cNvPr id="54" name="TextBox 53">
          <a:extLst>
            <a:ext uri="{FF2B5EF4-FFF2-40B4-BE49-F238E27FC236}">
              <a16:creationId xmlns:a16="http://schemas.microsoft.com/office/drawing/2014/main" id="{1DA13868-E84C-8606-CE2B-763A8E4F82E4}"/>
            </a:ext>
          </a:extLst>
        </xdr:cNvPr>
        <xdr:cNvSpPr txBox="1"/>
      </xdr:nvSpPr>
      <xdr:spPr>
        <a:xfrm>
          <a:off x="4326414" y="1078735"/>
          <a:ext cx="918072" cy="47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rPr>
            <a:t>$239 </a:t>
          </a:r>
          <a:endParaRPr lang="en-US" sz="1800" b="1">
            <a:solidFill>
              <a:schemeClr val="bg1">
                <a:lumMod val="85000"/>
              </a:schemeClr>
            </a:solidFill>
          </a:endParaRPr>
        </a:p>
      </xdr:txBody>
    </xdr:sp>
    <xdr:clientData/>
  </xdr:twoCellAnchor>
  <xdr:twoCellAnchor>
    <xdr:from>
      <xdr:col>0</xdr:col>
      <xdr:colOff>336013</xdr:colOff>
      <xdr:row>9</xdr:row>
      <xdr:rowOff>14689</xdr:rowOff>
    </xdr:from>
    <xdr:to>
      <xdr:col>2</xdr:col>
      <xdr:colOff>37639</xdr:colOff>
      <xdr:row>11</xdr:row>
      <xdr:rowOff>95021</xdr:rowOff>
    </xdr:to>
    <xdr:sp macro="" textlink="Bonds">
      <xdr:nvSpPr>
        <xdr:cNvPr id="55" name="TextBox 54">
          <a:extLst>
            <a:ext uri="{FF2B5EF4-FFF2-40B4-BE49-F238E27FC236}">
              <a16:creationId xmlns:a16="http://schemas.microsoft.com/office/drawing/2014/main" id="{46A2C9B0-DE9C-4416-F1C2-37383C81305C}"/>
            </a:ext>
          </a:extLst>
        </xdr:cNvPr>
        <xdr:cNvSpPr txBox="1"/>
      </xdr:nvSpPr>
      <xdr:spPr>
        <a:xfrm>
          <a:off x="336013" y="1770502"/>
          <a:ext cx="918072" cy="47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chemeClr val="bg1">
                <a:lumMod val="50000"/>
              </a:schemeClr>
            </a:solidFill>
          </a:endParaRPr>
        </a:p>
        <a:p>
          <a:endParaRPr lang="en-US" sz="2000" b="1">
            <a:solidFill>
              <a:schemeClr val="bg1">
                <a:lumMod val="50000"/>
              </a:schemeClr>
            </a:solidFill>
          </a:endParaRPr>
        </a:p>
      </xdr:txBody>
    </xdr:sp>
    <xdr:clientData/>
  </xdr:twoCellAnchor>
  <xdr:twoCellAnchor>
    <xdr:from>
      <xdr:col>10</xdr:col>
      <xdr:colOff>83542</xdr:colOff>
      <xdr:row>5</xdr:row>
      <xdr:rowOff>95019</xdr:rowOff>
    </xdr:from>
    <xdr:to>
      <xdr:col>11</xdr:col>
      <xdr:colOff>393391</xdr:colOff>
      <xdr:row>7</xdr:row>
      <xdr:rowOff>175351</xdr:rowOff>
    </xdr:to>
    <xdr:sp macro="" textlink="">
      <xdr:nvSpPr>
        <xdr:cNvPr id="56" name="TextBox 55">
          <a:extLst>
            <a:ext uri="{FF2B5EF4-FFF2-40B4-BE49-F238E27FC236}">
              <a16:creationId xmlns:a16="http://schemas.microsoft.com/office/drawing/2014/main" id="{1EA11F8D-9519-BBD1-9C37-092CCA43E270}"/>
            </a:ext>
          </a:extLst>
        </xdr:cNvPr>
        <xdr:cNvSpPr txBox="1"/>
      </xdr:nvSpPr>
      <xdr:spPr>
        <a:xfrm>
          <a:off x="6165771" y="1070471"/>
          <a:ext cx="918072" cy="47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rPr>
            <a:t> $</a:t>
          </a:r>
          <a:r>
            <a:rPr lang="en-US" sz="2400" b="1">
              <a:solidFill>
                <a:schemeClr val="bg1">
                  <a:lumMod val="85000"/>
                </a:schemeClr>
              </a:solidFill>
              <a:latin typeface="+mn-lt"/>
              <a:ea typeface="+mn-ea"/>
              <a:cs typeface="+mn-cs"/>
            </a:rPr>
            <a:t>186</a:t>
          </a:r>
          <a:r>
            <a:rPr lang="en-US" sz="2400" b="1">
              <a:solidFill>
                <a:schemeClr val="bg1">
                  <a:lumMod val="85000"/>
                </a:schemeClr>
              </a:solidFill>
            </a:rPr>
            <a:t> </a:t>
          </a:r>
        </a:p>
      </xdr:txBody>
    </xdr:sp>
    <xdr:clientData/>
  </xdr:twoCellAnchor>
  <xdr:twoCellAnchor>
    <xdr:from>
      <xdr:col>13</xdr:col>
      <xdr:colOff>167086</xdr:colOff>
      <xdr:row>5</xdr:row>
      <xdr:rowOff>114759</xdr:rowOff>
    </xdr:from>
    <xdr:to>
      <xdr:col>14</xdr:col>
      <xdr:colOff>476936</xdr:colOff>
      <xdr:row>8</xdr:row>
      <xdr:rowOff>17902</xdr:rowOff>
    </xdr:to>
    <xdr:sp macro="" textlink="">
      <xdr:nvSpPr>
        <xdr:cNvPr id="57" name="TextBox 56">
          <a:extLst>
            <a:ext uri="{FF2B5EF4-FFF2-40B4-BE49-F238E27FC236}">
              <a16:creationId xmlns:a16="http://schemas.microsoft.com/office/drawing/2014/main" id="{F621BAEC-A85E-0925-5861-FD59021E9876}"/>
            </a:ext>
          </a:extLst>
        </xdr:cNvPr>
        <xdr:cNvSpPr txBox="1"/>
      </xdr:nvSpPr>
      <xdr:spPr>
        <a:xfrm>
          <a:off x="8073984" y="1090211"/>
          <a:ext cx="918072" cy="488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chemeClr val="bg1"/>
              </a:solidFill>
            </a:rPr>
            <a:t> </a:t>
          </a:r>
          <a:r>
            <a:rPr lang="en-US" sz="2400" b="1">
              <a:solidFill>
                <a:schemeClr val="bg1">
                  <a:lumMod val="85000"/>
                </a:schemeClr>
              </a:solidFill>
            </a:rPr>
            <a:t>$102 </a:t>
          </a:r>
          <a:endParaRPr lang="en-US" b="1">
            <a:solidFill>
              <a:schemeClr val="bg1">
                <a:lumMod val="85000"/>
              </a:schemeClr>
            </a:solidFill>
          </a:endParaRPr>
        </a:p>
      </xdr:txBody>
    </xdr:sp>
    <xdr:clientData/>
  </xdr:twoCellAnchor>
  <xdr:twoCellAnchor>
    <xdr:from>
      <xdr:col>16</xdr:col>
      <xdr:colOff>193251</xdr:colOff>
      <xdr:row>5</xdr:row>
      <xdr:rowOff>60593</xdr:rowOff>
    </xdr:from>
    <xdr:to>
      <xdr:col>17</xdr:col>
      <xdr:colOff>503100</xdr:colOff>
      <xdr:row>7</xdr:row>
      <xdr:rowOff>158826</xdr:rowOff>
    </xdr:to>
    <xdr:sp macro="" textlink="">
      <xdr:nvSpPr>
        <xdr:cNvPr id="5" name="TextBox 4">
          <a:extLst>
            <a:ext uri="{FF2B5EF4-FFF2-40B4-BE49-F238E27FC236}">
              <a16:creationId xmlns:a16="http://schemas.microsoft.com/office/drawing/2014/main" id="{BDBAF33E-EA1E-87B9-8C5E-B9C7F673097B}"/>
            </a:ext>
          </a:extLst>
        </xdr:cNvPr>
        <xdr:cNvSpPr txBox="1"/>
      </xdr:nvSpPr>
      <xdr:spPr>
        <a:xfrm>
          <a:off x="9924817" y="1036045"/>
          <a:ext cx="918072" cy="488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50000"/>
                </a:schemeClr>
              </a:solidFill>
            </a:rPr>
            <a:t> </a:t>
          </a:r>
          <a:r>
            <a:rPr lang="en-US" sz="2400" b="1">
              <a:solidFill>
                <a:schemeClr val="bg1">
                  <a:lumMod val="85000"/>
                </a:schemeClr>
              </a:solidFill>
            </a:rPr>
            <a:t>$230 </a:t>
          </a:r>
        </a:p>
      </xdr:txBody>
    </xdr:sp>
    <xdr:clientData/>
  </xdr:twoCellAnchor>
  <xdr:twoCellAnchor>
    <xdr:from>
      <xdr:col>19</xdr:col>
      <xdr:colOff>357126</xdr:colOff>
      <xdr:row>5</xdr:row>
      <xdr:rowOff>86758</xdr:rowOff>
    </xdr:from>
    <xdr:to>
      <xdr:col>21</xdr:col>
      <xdr:colOff>58752</xdr:colOff>
      <xdr:row>7</xdr:row>
      <xdr:rowOff>184991</xdr:rowOff>
    </xdr:to>
    <xdr:sp macro="" textlink="">
      <xdr:nvSpPr>
        <xdr:cNvPr id="7" name="TextBox 6">
          <a:extLst>
            <a:ext uri="{FF2B5EF4-FFF2-40B4-BE49-F238E27FC236}">
              <a16:creationId xmlns:a16="http://schemas.microsoft.com/office/drawing/2014/main" id="{9C62101C-A740-D3E1-2518-CF841DC5A437}"/>
            </a:ext>
          </a:extLst>
        </xdr:cNvPr>
        <xdr:cNvSpPr txBox="1"/>
      </xdr:nvSpPr>
      <xdr:spPr>
        <a:xfrm>
          <a:off x="11913361" y="1062210"/>
          <a:ext cx="918072" cy="488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rPr>
            <a:t>$139</a:t>
          </a:r>
        </a:p>
      </xdr:txBody>
    </xdr:sp>
    <xdr:clientData/>
  </xdr:twoCellAnchor>
  <xdr:twoCellAnchor>
    <xdr:from>
      <xdr:col>22</xdr:col>
      <xdr:colOff>348864</xdr:colOff>
      <xdr:row>5</xdr:row>
      <xdr:rowOff>78495</xdr:rowOff>
    </xdr:from>
    <xdr:to>
      <xdr:col>24</xdr:col>
      <xdr:colOff>50491</xdr:colOff>
      <xdr:row>7</xdr:row>
      <xdr:rowOff>176728</xdr:rowOff>
    </xdr:to>
    <xdr:sp macro="" textlink="">
      <xdr:nvSpPr>
        <xdr:cNvPr id="8" name="TextBox 7">
          <a:extLst>
            <a:ext uri="{FF2B5EF4-FFF2-40B4-BE49-F238E27FC236}">
              <a16:creationId xmlns:a16="http://schemas.microsoft.com/office/drawing/2014/main" id="{390B611D-F99D-BBF6-876D-321F8CB5D209}"/>
            </a:ext>
          </a:extLst>
        </xdr:cNvPr>
        <xdr:cNvSpPr txBox="1"/>
      </xdr:nvSpPr>
      <xdr:spPr>
        <a:xfrm>
          <a:off x="13729768" y="1053947"/>
          <a:ext cx="918072" cy="488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rPr>
            <a:t> $143 </a:t>
          </a:r>
        </a:p>
      </xdr:txBody>
    </xdr:sp>
    <xdr:clientData/>
  </xdr:twoCellAnchor>
  <xdr:twoCellAnchor>
    <xdr:from>
      <xdr:col>25</xdr:col>
      <xdr:colOff>581596</xdr:colOff>
      <xdr:row>5</xdr:row>
      <xdr:rowOff>70234</xdr:rowOff>
    </xdr:from>
    <xdr:to>
      <xdr:col>27</xdr:col>
      <xdr:colOff>283222</xdr:colOff>
      <xdr:row>7</xdr:row>
      <xdr:rowOff>168467</xdr:rowOff>
    </xdr:to>
    <xdr:sp macro="" textlink="">
      <xdr:nvSpPr>
        <xdr:cNvPr id="10" name="TextBox 9">
          <a:extLst>
            <a:ext uri="{FF2B5EF4-FFF2-40B4-BE49-F238E27FC236}">
              <a16:creationId xmlns:a16="http://schemas.microsoft.com/office/drawing/2014/main" id="{4ED97C2E-A3F1-DA1E-65B5-433C61016453}"/>
            </a:ext>
          </a:extLst>
        </xdr:cNvPr>
        <xdr:cNvSpPr txBox="1"/>
      </xdr:nvSpPr>
      <xdr:spPr>
        <a:xfrm>
          <a:off x="15787168" y="1045686"/>
          <a:ext cx="918072" cy="488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rPr>
            <a:t> $81 </a:t>
          </a:r>
        </a:p>
      </xdr:txBody>
    </xdr:sp>
    <xdr:clientData/>
  </xdr:twoCellAnchor>
  <xdr:twoCellAnchor>
    <xdr:from>
      <xdr:col>2</xdr:col>
      <xdr:colOff>424610</xdr:colOff>
      <xdr:row>6</xdr:row>
      <xdr:rowOff>45903</xdr:rowOff>
    </xdr:from>
    <xdr:to>
      <xdr:col>5</xdr:col>
      <xdr:colOff>298374</xdr:colOff>
      <xdr:row>10</xdr:row>
      <xdr:rowOff>160662</xdr:rowOff>
    </xdr:to>
    <xdr:sp macro="" textlink="">
      <xdr:nvSpPr>
        <xdr:cNvPr id="11" name="TextBox 10">
          <a:extLst>
            <a:ext uri="{FF2B5EF4-FFF2-40B4-BE49-F238E27FC236}">
              <a16:creationId xmlns:a16="http://schemas.microsoft.com/office/drawing/2014/main" id="{64C0D9DB-E581-7A3D-F2E8-0277C5A429D2}"/>
            </a:ext>
          </a:extLst>
        </xdr:cNvPr>
        <xdr:cNvSpPr txBox="1"/>
      </xdr:nvSpPr>
      <xdr:spPr>
        <a:xfrm>
          <a:off x="1641056" y="1216445"/>
          <a:ext cx="1698432" cy="895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lumMod val="85000"/>
                </a:schemeClr>
              </a:solidFill>
            </a:rPr>
            <a:t>Good</a:t>
          </a:r>
          <a:r>
            <a:rPr lang="en-US" sz="1800" b="1" baseline="0">
              <a:solidFill>
                <a:schemeClr val="bg1">
                  <a:lumMod val="85000"/>
                </a:schemeClr>
              </a:solidFill>
            </a:rPr>
            <a:t> Morning,</a:t>
          </a:r>
        </a:p>
        <a:p>
          <a:pPr algn="ctr"/>
          <a:r>
            <a:rPr lang="en-US" sz="1800" b="1" baseline="0">
              <a:solidFill>
                <a:schemeClr val="bg1">
                  <a:lumMod val="85000"/>
                </a:schemeClr>
              </a:solidFill>
            </a:rPr>
            <a:t>Ilesanmi</a:t>
          </a:r>
          <a:endParaRPr lang="en-NG" sz="1800" b="1">
            <a:solidFill>
              <a:schemeClr val="bg1">
                <a:lumMod val="85000"/>
              </a:schemeClr>
            </a:solidFill>
          </a:endParaRPr>
        </a:p>
      </xdr:txBody>
    </xdr:sp>
    <xdr:clientData/>
  </xdr:twoCellAnchor>
  <xdr:twoCellAnchor>
    <xdr:from>
      <xdr:col>2</xdr:col>
      <xdr:colOff>404870</xdr:colOff>
      <xdr:row>15</xdr:row>
      <xdr:rowOff>106495</xdr:rowOff>
    </xdr:from>
    <xdr:to>
      <xdr:col>5</xdr:col>
      <xdr:colOff>278634</xdr:colOff>
      <xdr:row>18</xdr:row>
      <xdr:rowOff>103282</xdr:rowOff>
    </xdr:to>
    <xdr:sp macro="" textlink="">
      <xdr:nvSpPr>
        <xdr:cNvPr id="12" name="TextBox 11">
          <a:hlinkClick xmlns:r="http://schemas.openxmlformats.org/officeDocument/2006/relationships" r:id="rId19"/>
          <a:extLst>
            <a:ext uri="{FF2B5EF4-FFF2-40B4-BE49-F238E27FC236}">
              <a16:creationId xmlns:a16="http://schemas.microsoft.com/office/drawing/2014/main" id="{3D207325-EAEE-B22E-8396-0B7E72A7433E}"/>
            </a:ext>
          </a:extLst>
        </xdr:cNvPr>
        <xdr:cNvSpPr txBox="1"/>
      </xdr:nvSpPr>
      <xdr:spPr>
        <a:xfrm>
          <a:off x="1621316" y="3032850"/>
          <a:ext cx="1698432" cy="58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lumMod val="85000"/>
                </a:schemeClr>
              </a:solidFill>
            </a:rPr>
            <a:t>Dashboard</a:t>
          </a:r>
        </a:p>
      </xdr:txBody>
    </xdr:sp>
    <xdr:clientData/>
  </xdr:twoCellAnchor>
  <xdr:twoCellAnchor>
    <xdr:from>
      <xdr:col>2</xdr:col>
      <xdr:colOff>132662</xdr:colOff>
      <xdr:row>53</xdr:row>
      <xdr:rowOff>178564</xdr:rowOff>
    </xdr:from>
    <xdr:to>
      <xdr:col>5</xdr:col>
      <xdr:colOff>6426</xdr:colOff>
      <xdr:row>56</xdr:row>
      <xdr:rowOff>175352</xdr:rowOff>
    </xdr:to>
    <xdr:sp macro="" textlink="">
      <xdr:nvSpPr>
        <xdr:cNvPr id="23" name="TextBox 22">
          <a:extLst>
            <a:ext uri="{FF2B5EF4-FFF2-40B4-BE49-F238E27FC236}">
              <a16:creationId xmlns:a16="http://schemas.microsoft.com/office/drawing/2014/main" id="{870A2A3B-FC3B-81E0-8385-47B284542DBE}"/>
            </a:ext>
          </a:extLst>
        </xdr:cNvPr>
        <xdr:cNvSpPr txBox="1"/>
      </xdr:nvSpPr>
      <xdr:spPr>
        <a:xfrm>
          <a:off x="1349108" y="10518353"/>
          <a:ext cx="1698432" cy="58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lumMod val="65000"/>
                </a:schemeClr>
              </a:solidFill>
            </a:rPr>
            <a:t>Dashboard</a:t>
          </a:r>
        </a:p>
      </xdr:txBody>
    </xdr:sp>
    <xdr:clientData/>
  </xdr:twoCellAnchor>
  <xdr:twoCellAnchor>
    <xdr:from>
      <xdr:col>1</xdr:col>
      <xdr:colOff>594911</xdr:colOff>
      <xdr:row>77</xdr:row>
      <xdr:rowOff>147349</xdr:rowOff>
    </xdr:from>
    <xdr:to>
      <xdr:col>4</xdr:col>
      <xdr:colOff>468674</xdr:colOff>
      <xdr:row>80</xdr:row>
      <xdr:rowOff>144137</xdr:rowOff>
    </xdr:to>
    <xdr:sp macro="" textlink="">
      <xdr:nvSpPr>
        <xdr:cNvPr id="24" name="TextBox 23">
          <a:extLst>
            <a:ext uri="{FF2B5EF4-FFF2-40B4-BE49-F238E27FC236}">
              <a16:creationId xmlns:a16="http://schemas.microsoft.com/office/drawing/2014/main" id="{8FF3E297-CE92-3CA6-3A6B-28B9B7B883D9}"/>
            </a:ext>
          </a:extLst>
        </xdr:cNvPr>
        <xdr:cNvSpPr txBox="1"/>
      </xdr:nvSpPr>
      <xdr:spPr>
        <a:xfrm>
          <a:off x="1203134" y="15169307"/>
          <a:ext cx="1698432" cy="58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lumMod val="65000"/>
                </a:schemeClr>
              </a:solidFill>
            </a:rPr>
            <a:t>Dashboard</a:t>
          </a:r>
        </a:p>
      </xdr:txBody>
    </xdr:sp>
    <xdr:clientData/>
  </xdr:twoCellAnchor>
  <xdr:twoCellAnchor>
    <xdr:from>
      <xdr:col>2</xdr:col>
      <xdr:colOff>362180</xdr:colOff>
      <xdr:row>18</xdr:row>
      <xdr:rowOff>63804</xdr:rowOff>
    </xdr:from>
    <xdr:to>
      <xdr:col>5</xdr:col>
      <xdr:colOff>235944</xdr:colOff>
      <xdr:row>21</xdr:row>
      <xdr:rowOff>60592</xdr:rowOff>
    </xdr:to>
    <xdr:sp macro="" textlink="">
      <xdr:nvSpPr>
        <xdr:cNvPr id="25" name="TextBox 24">
          <a:hlinkClick xmlns:r="http://schemas.openxmlformats.org/officeDocument/2006/relationships" r:id="rId20"/>
          <a:extLst>
            <a:ext uri="{FF2B5EF4-FFF2-40B4-BE49-F238E27FC236}">
              <a16:creationId xmlns:a16="http://schemas.microsoft.com/office/drawing/2014/main" id="{EA81EB09-E024-4712-49E4-6CFDC58566F5}"/>
            </a:ext>
          </a:extLst>
        </xdr:cNvPr>
        <xdr:cNvSpPr txBox="1"/>
      </xdr:nvSpPr>
      <xdr:spPr>
        <a:xfrm>
          <a:off x="1578626" y="3575431"/>
          <a:ext cx="1698432" cy="58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lumMod val="85000"/>
                </a:schemeClr>
              </a:solidFill>
            </a:rPr>
            <a:t>Analysis</a:t>
          </a:r>
        </a:p>
      </xdr:txBody>
    </xdr:sp>
    <xdr:clientData/>
  </xdr:twoCellAnchor>
  <xdr:twoCellAnchor>
    <xdr:from>
      <xdr:col>2</xdr:col>
      <xdr:colOff>353917</xdr:colOff>
      <xdr:row>21</xdr:row>
      <xdr:rowOff>21114</xdr:rowOff>
    </xdr:from>
    <xdr:to>
      <xdr:col>5</xdr:col>
      <xdr:colOff>227681</xdr:colOff>
      <xdr:row>24</xdr:row>
      <xdr:rowOff>17902</xdr:rowOff>
    </xdr:to>
    <xdr:sp macro="" textlink="">
      <xdr:nvSpPr>
        <xdr:cNvPr id="27" name="TextBox 26">
          <a:hlinkClick xmlns:r="http://schemas.openxmlformats.org/officeDocument/2006/relationships" r:id="rId21"/>
          <a:extLst>
            <a:ext uri="{FF2B5EF4-FFF2-40B4-BE49-F238E27FC236}">
              <a16:creationId xmlns:a16="http://schemas.microsoft.com/office/drawing/2014/main" id="{68D4EE50-1B41-20F7-B6A5-896A9C053A90}"/>
            </a:ext>
          </a:extLst>
        </xdr:cNvPr>
        <xdr:cNvSpPr txBox="1"/>
      </xdr:nvSpPr>
      <xdr:spPr>
        <a:xfrm>
          <a:off x="1570363" y="4118012"/>
          <a:ext cx="1698432" cy="58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lumMod val="85000"/>
                </a:schemeClr>
              </a:solidFill>
            </a:rPr>
            <a:t>Data</a:t>
          </a:r>
        </a:p>
      </xdr:txBody>
    </xdr:sp>
    <xdr:clientData/>
  </xdr:twoCellAnchor>
  <xdr:twoCellAnchor>
    <xdr:from>
      <xdr:col>3</xdr:col>
      <xdr:colOff>106497</xdr:colOff>
      <xdr:row>31</xdr:row>
      <xdr:rowOff>37642</xdr:rowOff>
    </xdr:from>
    <xdr:to>
      <xdr:col>5</xdr:col>
      <xdr:colOff>332801</xdr:colOff>
      <xdr:row>33</xdr:row>
      <xdr:rowOff>45905</xdr:rowOff>
    </xdr:to>
    <xdr:sp macro="" textlink="">
      <xdr:nvSpPr>
        <xdr:cNvPr id="29" name="TextBox 28">
          <a:extLst>
            <a:ext uri="{FF2B5EF4-FFF2-40B4-BE49-F238E27FC236}">
              <a16:creationId xmlns:a16="http://schemas.microsoft.com/office/drawing/2014/main" id="{204FA56C-81C6-9306-DFA5-A09B55685C74}"/>
            </a:ext>
          </a:extLst>
        </xdr:cNvPr>
        <xdr:cNvSpPr txBox="1"/>
      </xdr:nvSpPr>
      <xdr:spPr>
        <a:xfrm>
          <a:off x="1931166" y="6085443"/>
          <a:ext cx="1442749" cy="398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baseline="0">
              <a:solidFill>
                <a:schemeClr val="bg1">
                  <a:lumMod val="85000"/>
                </a:schemeClr>
              </a:solidFill>
            </a:rPr>
            <a:t>Investors</a:t>
          </a:r>
        </a:p>
      </xdr:txBody>
    </xdr:sp>
    <xdr:clientData/>
  </xdr:twoCellAnchor>
  <xdr:twoCellAnchor>
    <xdr:from>
      <xdr:col>3</xdr:col>
      <xdr:colOff>114759</xdr:colOff>
      <xdr:row>36</xdr:row>
      <xdr:rowOff>98236</xdr:rowOff>
    </xdr:from>
    <xdr:to>
      <xdr:col>5</xdr:col>
      <xdr:colOff>244206</xdr:colOff>
      <xdr:row>38</xdr:row>
      <xdr:rowOff>106499</xdr:rowOff>
    </xdr:to>
    <xdr:sp macro="" textlink="">
      <xdr:nvSpPr>
        <xdr:cNvPr id="31" name="TextBox 30">
          <a:extLst>
            <a:ext uri="{FF2B5EF4-FFF2-40B4-BE49-F238E27FC236}">
              <a16:creationId xmlns:a16="http://schemas.microsoft.com/office/drawing/2014/main" id="{113AB3A5-7D07-9566-370D-D8597A9C967D}"/>
            </a:ext>
          </a:extLst>
        </xdr:cNvPr>
        <xdr:cNvSpPr txBox="1"/>
      </xdr:nvSpPr>
      <xdr:spPr>
        <a:xfrm>
          <a:off x="1939428" y="7121489"/>
          <a:ext cx="1345892" cy="398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baseline="0">
              <a:solidFill>
                <a:schemeClr val="bg1">
                  <a:lumMod val="85000"/>
                </a:schemeClr>
              </a:solidFill>
            </a:rPr>
            <a:t>Average Age</a:t>
          </a:r>
        </a:p>
      </xdr:txBody>
    </xdr:sp>
    <xdr:clientData/>
  </xdr:twoCellAnchor>
  <xdr:twoCellAnchor>
    <xdr:from>
      <xdr:col>3</xdr:col>
      <xdr:colOff>562319</xdr:colOff>
      <xdr:row>33</xdr:row>
      <xdr:rowOff>0</xdr:rowOff>
    </xdr:from>
    <xdr:to>
      <xdr:col>5</xdr:col>
      <xdr:colOff>172139</xdr:colOff>
      <xdr:row>35</xdr:row>
      <xdr:rowOff>11476</xdr:rowOff>
    </xdr:to>
    <xdr:sp macro="" textlink="">
      <xdr:nvSpPr>
        <xdr:cNvPr id="33" name="TextBox 32">
          <a:extLst>
            <a:ext uri="{FF2B5EF4-FFF2-40B4-BE49-F238E27FC236}">
              <a16:creationId xmlns:a16="http://schemas.microsoft.com/office/drawing/2014/main" id="{98A17CB7-96DC-3F56-539F-EF3510D28D84}"/>
            </a:ext>
          </a:extLst>
        </xdr:cNvPr>
        <xdr:cNvSpPr txBox="1"/>
      </xdr:nvSpPr>
      <xdr:spPr>
        <a:xfrm>
          <a:off x="2386988" y="6437982"/>
          <a:ext cx="826265" cy="401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85000"/>
                </a:schemeClr>
              </a:solidFill>
            </a:rPr>
            <a:t>40</a:t>
          </a:r>
        </a:p>
      </xdr:txBody>
    </xdr:sp>
    <xdr:clientData/>
  </xdr:twoCellAnchor>
  <xdr:twoCellAnchor>
    <xdr:from>
      <xdr:col>3</xdr:col>
      <xdr:colOff>554057</xdr:colOff>
      <xdr:row>38</xdr:row>
      <xdr:rowOff>83544</xdr:rowOff>
    </xdr:from>
    <xdr:to>
      <xdr:col>5</xdr:col>
      <xdr:colOff>163877</xdr:colOff>
      <xdr:row>40</xdr:row>
      <xdr:rowOff>95021</xdr:rowOff>
    </xdr:to>
    <xdr:sp macro="" textlink="">
      <xdr:nvSpPr>
        <xdr:cNvPr id="35" name="TextBox 34">
          <a:extLst>
            <a:ext uri="{FF2B5EF4-FFF2-40B4-BE49-F238E27FC236}">
              <a16:creationId xmlns:a16="http://schemas.microsoft.com/office/drawing/2014/main" id="{A8D6F379-0649-35ED-7A5A-81252573762E}"/>
            </a:ext>
          </a:extLst>
        </xdr:cNvPr>
        <xdr:cNvSpPr txBox="1"/>
      </xdr:nvSpPr>
      <xdr:spPr>
        <a:xfrm>
          <a:off x="2378726" y="7496978"/>
          <a:ext cx="826265" cy="401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85000"/>
                </a:schemeClr>
              </a:solidFill>
            </a:rPr>
            <a:t>28</a:t>
          </a:r>
        </a:p>
      </xdr:txBody>
    </xdr:sp>
    <xdr:clientData/>
  </xdr:twoCellAnchor>
  <xdr:twoCellAnchor>
    <xdr:from>
      <xdr:col>5</xdr:col>
      <xdr:colOff>298374</xdr:colOff>
      <xdr:row>12</xdr:row>
      <xdr:rowOff>57380</xdr:rowOff>
    </xdr:from>
    <xdr:to>
      <xdr:col>12</xdr:col>
      <xdr:colOff>527891</xdr:colOff>
      <xdr:row>25</xdr:row>
      <xdr:rowOff>92265</xdr:rowOff>
    </xdr:to>
    <xdr:graphicFrame macro="">
      <xdr:nvGraphicFramePr>
        <xdr:cNvPr id="37" name="Chart 36">
          <a:extLst>
            <a:ext uri="{FF2B5EF4-FFF2-40B4-BE49-F238E27FC236}">
              <a16:creationId xmlns:a16="http://schemas.microsoft.com/office/drawing/2014/main" id="{CF263A98-ECBD-49D4-B30B-4C2C36C2B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573795</xdr:colOff>
      <xdr:row>12</xdr:row>
      <xdr:rowOff>103284</xdr:rowOff>
    </xdr:from>
    <xdr:to>
      <xdr:col>10</xdr:col>
      <xdr:colOff>353174</xdr:colOff>
      <xdr:row>17</xdr:row>
      <xdr:rowOff>34429</xdr:rowOff>
    </xdr:to>
    <xdr:sp macro="" textlink="">
      <xdr:nvSpPr>
        <xdr:cNvPr id="39" name="TextBox 38">
          <a:extLst>
            <a:ext uri="{FF2B5EF4-FFF2-40B4-BE49-F238E27FC236}">
              <a16:creationId xmlns:a16="http://schemas.microsoft.com/office/drawing/2014/main" id="{D25FCA01-8D7A-40BF-DB8B-1574425F1B3D}"/>
            </a:ext>
          </a:extLst>
        </xdr:cNvPr>
        <xdr:cNvSpPr txBox="1"/>
      </xdr:nvSpPr>
      <xdr:spPr>
        <a:xfrm>
          <a:off x="3623935" y="2414969"/>
          <a:ext cx="2829520" cy="89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latin typeface="+mj-lt"/>
            </a:rPr>
            <a:t>Preferred</a:t>
          </a:r>
          <a:r>
            <a:rPr lang="en-US" sz="1600" b="1" baseline="0">
              <a:solidFill>
                <a:schemeClr val="bg1">
                  <a:lumMod val="85000"/>
                </a:schemeClr>
              </a:solidFill>
              <a:latin typeface="+mj-lt"/>
            </a:rPr>
            <a:t>  Investment Avenue</a:t>
          </a:r>
          <a:endParaRPr lang="en-NG" sz="1600" b="1">
            <a:solidFill>
              <a:schemeClr val="bg1">
                <a:lumMod val="85000"/>
              </a:schemeClr>
            </a:solidFill>
            <a:latin typeface="+mj-lt"/>
          </a:endParaRPr>
        </a:p>
      </xdr:txBody>
    </xdr:sp>
    <xdr:clientData/>
  </xdr:twoCellAnchor>
  <xdr:twoCellAnchor>
    <xdr:from>
      <xdr:col>13</xdr:col>
      <xdr:colOff>60592</xdr:colOff>
      <xdr:row>12</xdr:row>
      <xdr:rowOff>95023</xdr:rowOff>
    </xdr:from>
    <xdr:to>
      <xdr:col>18</xdr:col>
      <xdr:colOff>503005</xdr:colOff>
      <xdr:row>16</xdr:row>
      <xdr:rowOff>1</xdr:rowOff>
    </xdr:to>
    <xdr:sp macro="" textlink="">
      <xdr:nvSpPr>
        <xdr:cNvPr id="41" name="TextBox 40">
          <a:extLst>
            <a:ext uri="{FF2B5EF4-FFF2-40B4-BE49-F238E27FC236}">
              <a16:creationId xmlns:a16="http://schemas.microsoft.com/office/drawing/2014/main" id="{89681F65-FFB1-6886-42B1-C13488672095}"/>
            </a:ext>
          </a:extLst>
        </xdr:cNvPr>
        <xdr:cNvSpPr txBox="1"/>
      </xdr:nvSpPr>
      <xdr:spPr>
        <a:xfrm>
          <a:off x="7990957" y="2406708"/>
          <a:ext cx="3492554" cy="675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latin typeface="+mj-lt"/>
            </a:rPr>
            <a:t>Investment</a:t>
          </a:r>
          <a:r>
            <a:rPr lang="en-US" sz="1600" b="1" baseline="0">
              <a:solidFill>
                <a:schemeClr val="bg1">
                  <a:lumMod val="85000"/>
                </a:schemeClr>
              </a:solidFill>
              <a:latin typeface="+mj-lt"/>
            </a:rPr>
            <a:t> Distribution by Age Group</a:t>
          </a:r>
          <a:endParaRPr lang="en-NG" sz="1600" b="1">
            <a:solidFill>
              <a:schemeClr val="bg1">
                <a:lumMod val="85000"/>
              </a:schemeClr>
            </a:solidFill>
            <a:latin typeface="+mj-lt"/>
          </a:endParaRPr>
        </a:p>
      </xdr:txBody>
    </xdr:sp>
    <xdr:clientData/>
  </xdr:twoCellAnchor>
  <xdr:twoCellAnchor>
    <xdr:from>
      <xdr:col>20</xdr:col>
      <xdr:colOff>155612</xdr:colOff>
      <xdr:row>12</xdr:row>
      <xdr:rowOff>86762</xdr:rowOff>
    </xdr:from>
    <xdr:to>
      <xdr:col>25</xdr:col>
      <xdr:colOff>229517</xdr:colOff>
      <xdr:row>15</xdr:row>
      <xdr:rowOff>186831</xdr:rowOff>
    </xdr:to>
    <xdr:sp macro="" textlink="">
      <xdr:nvSpPr>
        <xdr:cNvPr id="43" name="TextBox 42">
          <a:extLst>
            <a:ext uri="{FF2B5EF4-FFF2-40B4-BE49-F238E27FC236}">
              <a16:creationId xmlns:a16="http://schemas.microsoft.com/office/drawing/2014/main" id="{6FFA0D72-8A04-B7A3-48FC-460473B53C06}"/>
            </a:ext>
          </a:extLst>
        </xdr:cNvPr>
        <xdr:cNvSpPr txBox="1"/>
      </xdr:nvSpPr>
      <xdr:spPr>
        <a:xfrm>
          <a:off x="12320070" y="2427846"/>
          <a:ext cx="3115019" cy="68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latin typeface="+mj-lt"/>
            </a:rPr>
            <a:t>Key</a:t>
          </a:r>
          <a:r>
            <a:rPr lang="en-US" sz="1600" b="1" baseline="0">
              <a:solidFill>
                <a:schemeClr val="bg1">
                  <a:lumMod val="85000"/>
                </a:schemeClr>
              </a:solidFill>
              <a:latin typeface="+mj-lt"/>
            </a:rPr>
            <a:t> Investment Decision Drivers</a:t>
          </a:r>
          <a:endParaRPr lang="en-NG" sz="1600" b="1">
            <a:solidFill>
              <a:schemeClr val="bg1">
                <a:lumMod val="85000"/>
              </a:schemeClr>
            </a:solidFill>
            <a:latin typeface="+mj-lt"/>
          </a:endParaRPr>
        </a:p>
      </xdr:txBody>
    </xdr:sp>
    <xdr:clientData/>
  </xdr:twoCellAnchor>
  <xdr:twoCellAnchor>
    <xdr:from>
      <xdr:col>5</xdr:col>
      <xdr:colOff>606384</xdr:colOff>
      <xdr:row>26</xdr:row>
      <xdr:rowOff>112929</xdr:rowOff>
    </xdr:from>
    <xdr:to>
      <xdr:col>12</xdr:col>
      <xdr:colOff>224746</xdr:colOff>
      <xdr:row>30</xdr:row>
      <xdr:rowOff>17907</xdr:rowOff>
    </xdr:to>
    <xdr:sp macro="" textlink="">
      <xdr:nvSpPr>
        <xdr:cNvPr id="53" name="TextBox 52">
          <a:extLst>
            <a:ext uri="{FF2B5EF4-FFF2-40B4-BE49-F238E27FC236}">
              <a16:creationId xmlns:a16="http://schemas.microsoft.com/office/drawing/2014/main" id="{0783D0B4-5A7C-6A7F-6FF6-DA50EAAC5142}"/>
            </a:ext>
          </a:extLst>
        </xdr:cNvPr>
        <xdr:cNvSpPr txBox="1"/>
      </xdr:nvSpPr>
      <xdr:spPr>
        <a:xfrm>
          <a:off x="3656524" y="5121581"/>
          <a:ext cx="3888559" cy="675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latin typeface="+mj-lt"/>
            </a:rPr>
            <a:t>Savings</a:t>
          </a:r>
          <a:r>
            <a:rPr lang="en-US" sz="1600" b="1" baseline="0">
              <a:solidFill>
                <a:schemeClr val="bg1">
                  <a:lumMod val="85000"/>
                </a:schemeClr>
              </a:solidFill>
              <a:latin typeface="+mj-lt"/>
            </a:rPr>
            <a:t> Objectives by Investment Horizon</a:t>
          </a:r>
          <a:endParaRPr lang="en-NG" sz="1600" b="1">
            <a:solidFill>
              <a:schemeClr val="bg1">
                <a:lumMod val="85000"/>
              </a:schemeClr>
            </a:solidFill>
            <a:latin typeface="+mj-lt"/>
          </a:endParaRPr>
        </a:p>
      </xdr:txBody>
    </xdr:sp>
    <xdr:clientData/>
  </xdr:twoCellAnchor>
  <xdr:twoCellAnchor>
    <xdr:from>
      <xdr:col>13</xdr:col>
      <xdr:colOff>67017</xdr:colOff>
      <xdr:row>26</xdr:row>
      <xdr:rowOff>135878</xdr:rowOff>
    </xdr:from>
    <xdr:to>
      <xdr:col>19</xdr:col>
      <xdr:colOff>192639</xdr:colOff>
      <xdr:row>30</xdr:row>
      <xdr:rowOff>40856</xdr:rowOff>
    </xdr:to>
    <xdr:sp macro="" textlink="">
      <xdr:nvSpPr>
        <xdr:cNvPr id="58" name="TextBox 57">
          <a:extLst>
            <a:ext uri="{FF2B5EF4-FFF2-40B4-BE49-F238E27FC236}">
              <a16:creationId xmlns:a16="http://schemas.microsoft.com/office/drawing/2014/main" id="{DA59A6AB-09C4-EC17-730D-4CD23EBA1BF6}"/>
            </a:ext>
          </a:extLst>
        </xdr:cNvPr>
        <xdr:cNvSpPr txBox="1"/>
      </xdr:nvSpPr>
      <xdr:spPr>
        <a:xfrm>
          <a:off x="7997382" y="5144530"/>
          <a:ext cx="3785791" cy="675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latin typeface="+mj-lt"/>
            </a:rPr>
            <a:t>Expected</a:t>
          </a:r>
          <a:r>
            <a:rPr lang="en-US" sz="1600" b="1" baseline="0">
              <a:solidFill>
                <a:schemeClr val="bg1">
                  <a:lumMod val="85000"/>
                </a:schemeClr>
              </a:solidFill>
              <a:latin typeface="+mj-lt"/>
            </a:rPr>
            <a:t> Returns on Mutual Funds</a:t>
          </a:r>
          <a:endParaRPr lang="en-NG" sz="1600" b="1">
            <a:solidFill>
              <a:schemeClr val="bg1">
                <a:lumMod val="85000"/>
              </a:schemeClr>
            </a:solidFill>
            <a:latin typeface="+mj-lt"/>
          </a:endParaRPr>
        </a:p>
      </xdr:txBody>
    </xdr:sp>
    <xdr:clientData/>
  </xdr:twoCellAnchor>
  <xdr:twoCellAnchor>
    <xdr:from>
      <xdr:col>12</xdr:col>
      <xdr:colOff>562319</xdr:colOff>
      <xdr:row>14</xdr:row>
      <xdr:rowOff>34428</xdr:rowOff>
    </xdr:from>
    <xdr:to>
      <xdr:col>19</xdr:col>
      <xdr:colOff>332801</xdr:colOff>
      <xdr:row>25</xdr:row>
      <xdr:rowOff>149187</xdr:rowOff>
    </xdr:to>
    <xdr:graphicFrame macro="">
      <xdr:nvGraphicFramePr>
        <xdr:cNvPr id="59" name="Chart 58">
          <a:extLst>
            <a:ext uri="{FF2B5EF4-FFF2-40B4-BE49-F238E27FC236}">
              <a16:creationId xmlns:a16="http://schemas.microsoft.com/office/drawing/2014/main" id="{B004D745-2124-44CD-BF6F-3CC4FF7A4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493464</xdr:colOff>
      <xdr:row>14</xdr:row>
      <xdr:rowOff>34427</xdr:rowOff>
    </xdr:from>
    <xdr:to>
      <xdr:col>27</xdr:col>
      <xdr:colOff>195091</xdr:colOff>
      <xdr:row>39</xdr:row>
      <xdr:rowOff>11475</xdr:rowOff>
    </xdr:to>
    <xdr:graphicFrame macro="">
      <xdr:nvGraphicFramePr>
        <xdr:cNvPr id="60" name="Chart 59">
          <a:extLst>
            <a:ext uri="{FF2B5EF4-FFF2-40B4-BE49-F238E27FC236}">
              <a16:creationId xmlns:a16="http://schemas.microsoft.com/office/drawing/2014/main" id="{75EEF0FA-6600-4F77-BFB5-D3C14E8BE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13</xdr:col>
      <xdr:colOff>122558</xdr:colOff>
      <xdr:row>26</xdr:row>
      <xdr:rowOff>185240</xdr:rowOff>
    </xdr:from>
    <xdr:to>
      <xdr:col>21</xdr:col>
      <xdr:colOff>252470</xdr:colOff>
      <xdr:row>41</xdr:row>
      <xdr:rowOff>2084</xdr:rowOff>
    </xdr:to>
    <xdr:graphicFrame macro="">
      <xdr:nvGraphicFramePr>
        <xdr:cNvPr id="61" name="Chart 60">
          <a:extLst>
            <a:ext uri="{FF2B5EF4-FFF2-40B4-BE49-F238E27FC236}">
              <a16:creationId xmlns:a16="http://schemas.microsoft.com/office/drawing/2014/main" id="{4EBB8EFD-4F42-4625-85E3-0A1694BB6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564075</xdr:colOff>
      <xdr:row>26</xdr:row>
      <xdr:rowOff>183615</xdr:rowOff>
    </xdr:from>
    <xdr:to>
      <xdr:col>12</xdr:col>
      <xdr:colOff>413132</xdr:colOff>
      <xdr:row>39</xdr:row>
      <xdr:rowOff>160663</xdr:rowOff>
    </xdr:to>
    <xdr:graphicFrame macro="">
      <xdr:nvGraphicFramePr>
        <xdr:cNvPr id="62" name="Chart 61">
          <a:extLst>
            <a:ext uri="{FF2B5EF4-FFF2-40B4-BE49-F238E27FC236}">
              <a16:creationId xmlns:a16="http://schemas.microsoft.com/office/drawing/2014/main" id="{F7304D68-7D42-43E8-94C8-63314D897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22</xdr:col>
      <xdr:colOff>187859</xdr:colOff>
      <xdr:row>2</xdr:row>
      <xdr:rowOff>64035</xdr:rowOff>
    </xdr:from>
    <xdr:to>
      <xdr:col>27</xdr:col>
      <xdr:colOff>103282</xdr:colOff>
      <xdr:row>4</xdr:row>
      <xdr:rowOff>80332</xdr:rowOff>
    </xdr:to>
    <mc:AlternateContent xmlns:mc="http://schemas.openxmlformats.org/markup-compatibility/2006" xmlns:a14="http://schemas.microsoft.com/office/drawing/2010/main">
      <mc:Choice Requires="a14">
        <xdr:graphicFrame macro="">
          <xdr:nvGraphicFramePr>
            <xdr:cNvPr id="64" name="Invest_Monitor 1">
              <a:extLst>
                <a:ext uri="{FF2B5EF4-FFF2-40B4-BE49-F238E27FC236}">
                  <a16:creationId xmlns:a16="http://schemas.microsoft.com/office/drawing/2014/main" id="{D31C0BA9-BD4A-EDEF-E45E-6B6C11C9DAC9}"/>
                </a:ext>
              </a:extLst>
            </xdr:cNvPr>
            <xdr:cNvGraphicFramePr/>
          </xdr:nvGraphicFramePr>
          <xdr:xfrm>
            <a:off x="0" y="0"/>
            <a:ext cx="0" cy="0"/>
          </xdr:xfrm>
          <a:graphic>
            <a:graphicData uri="http://schemas.microsoft.com/office/drawing/2010/slicer">
              <sle:slicer xmlns:sle="http://schemas.microsoft.com/office/drawing/2010/slicer" name="Invest_Monitor 1"/>
            </a:graphicData>
          </a:graphic>
        </xdr:graphicFrame>
      </mc:Choice>
      <mc:Fallback xmlns="">
        <xdr:sp macro="" textlink="">
          <xdr:nvSpPr>
            <xdr:cNvPr id="0" name=""/>
            <xdr:cNvSpPr>
              <a:spLocks noTextEdit="1"/>
            </xdr:cNvSpPr>
          </xdr:nvSpPr>
          <xdr:spPr>
            <a:xfrm>
              <a:off x="13599059" y="445035"/>
              <a:ext cx="2963423" cy="39729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378705</xdr:colOff>
      <xdr:row>2</xdr:row>
      <xdr:rowOff>114759</xdr:rowOff>
    </xdr:from>
    <xdr:to>
      <xdr:col>22</xdr:col>
      <xdr:colOff>355754</xdr:colOff>
      <xdr:row>4</xdr:row>
      <xdr:rowOff>126236</xdr:rowOff>
    </xdr:to>
    <xdr:sp macro="" textlink="">
      <xdr:nvSpPr>
        <xdr:cNvPr id="65" name="TextBox 64">
          <a:extLst>
            <a:ext uri="{FF2B5EF4-FFF2-40B4-BE49-F238E27FC236}">
              <a16:creationId xmlns:a16="http://schemas.microsoft.com/office/drawing/2014/main" id="{7CF7A173-5C02-DC71-A157-062AF5B02FD3}"/>
            </a:ext>
          </a:extLst>
        </xdr:cNvPr>
        <xdr:cNvSpPr txBox="1"/>
      </xdr:nvSpPr>
      <xdr:spPr>
        <a:xfrm>
          <a:off x="11326717" y="504940"/>
          <a:ext cx="2409941" cy="401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Thursday, 8 January 2026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esanmiii" refreshedDate="46030.501107175929" createdVersion="8" refreshedVersion="8" minRefreshableVersion="3" recordCount="40" xr:uid="{5F536E41-311D-4640-AC2C-A41E6706A8AF}">
  <cacheSource type="worksheet">
    <worksheetSource name="Investment_Preference_Data"/>
  </cacheSource>
  <cacheFields count="26">
    <cacheField name="gender" numFmtId="0">
      <sharedItems count="2">
        <s v="Female"/>
        <s v="Male"/>
      </sharedItems>
    </cacheField>
    <cacheField name="age" numFmtId="0">
      <sharedItems containsSemiMixedTypes="0" containsString="0" containsNumber="1" containsInteger="1" minValue="21" maxValue="35"/>
    </cacheField>
    <cacheField name="Age Group" numFmtId="0">
      <sharedItems count="3">
        <s v="Experienced Adulthood"/>
        <s v="Early Adulthood"/>
        <s v="Established Adulthood"/>
      </sharedItems>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ount="3">
        <s v="Returns"/>
        <s v="Locking Period"/>
        <s v="Risk"/>
      </sharedItems>
    </cacheField>
    <cacheField name="Objective" numFmtId="0">
      <sharedItems count="3">
        <s v="Capital Appreciation"/>
        <s v="Income"/>
        <s v="Growth"/>
      </sharedItems>
    </cacheField>
    <cacheField name="Purpose" numFmtId="0">
      <sharedItems/>
    </cacheField>
    <cacheField name="Duration" numFmtId="0">
      <sharedItems/>
    </cacheField>
    <cacheField name="Duration range " numFmtId="0">
      <sharedItems count="4">
        <s v="Short term"/>
        <s v="Long term"/>
        <s v="Mid term"/>
        <s v="Low term"/>
      </sharedItems>
    </cacheField>
    <cacheField name="Invest_Monitor" numFmtId="0">
      <sharedItems count="3">
        <s v="Monthly"/>
        <s v="Weekly"/>
        <s v="Daily"/>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acheField>
    <cacheField name="Reason_Equity" numFmtId="0">
      <sharedItems/>
    </cacheField>
    <cacheField name="Reason_Mutual" numFmtId="0">
      <sharedItems count="3">
        <s v="Better Returns"/>
        <s v="Tax Benefits"/>
        <s v="Fund Diversification"/>
      </sharedItems>
    </cacheField>
    <cacheField name="Reason_Bonds" numFmtId="0">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pivotCacheId="2067624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s v="Yes"/>
    <n v="1"/>
    <n v="2"/>
    <n v="5"/>
    <n v="3"/>
    <n v="7"/>
    <n v="6"/>
    <n v="4"/>
    <s v="Yes"/>
    <x v="0"/>
    <x v="0"/>
    <s v="Wealth Creation"/>
    <s v="1-3 years"/>
    <x v="0"/>
    <x v="0"/>
    <x v="0"/>
    <x v="0"/>
    <s v="Retirement Plan"/>
    <s v="Capital Appreciation"/>
    <x v="0"/>
    <s v="Safe Investment"/>
    <s v="Fixed Returns"/>
    <s v="Newspapers and Magazines"/>
  </r>
  <r>
    <x v="0"/>
    <n v="23"/>
    <x v="1"/>
    <s v="Yes"/>
    <n v="4"/>
    <n v="3"/>
    <n v="2"/>
    <n v="1"/>
    <n v="5"/>
    <n v="6"/>
    <n v="7"/>
    <s v="No"/>
    <x v="1"/>
    <x v="0"/>
    <s v="Wealth Creation"/>
    <s v="6 years"/>
    <x v="1"/>
    <x v="1"/>
    <x v="0"/>
    <x v="0"/>
    <s v="Health Care"/>
    <s v="Dividend"/>
    <x v="0"/>
    <s v="Safe Investment"/>
    <s v="High Interest Rates"/>
    <s v="Financial Consultants"/>
  </r>
  <r>
    <x v="1"/>
    <n v="30"/>
    <x v="2"/>
    <s v="Yes"/>
    <n v="3"/>
    <n v="6"/>
    <n v="4"/>
    <n v="2"/>
    <n v="5"/>
    <n v="1"/>
    <n v="7"/>
    <s v="Yes"/>
    <x v="0"/>
    <x v="0"/>
    <s v="Wealth Creation"/>
    <s v="3-5 years"/>
    <x v="2"/>
    <x v="2"/>
    <x v="0"/>
    <x v="1"/>
    <s v="Retirement Plan"/>
    <s v="Capital Appreciation"/>
    <x v="1"/>
    <s v="Assured Returns"/>
    <s v="Fixed Returns"/>
    <s v="Television"/>
  </r>
  <r>
    <x v="1"/>
    <n v="22"/>
    <x v="1"/>
    <s v="Yes"/>
    <n v="2"/>
    <n v="1"/>
    <n v="3"/>
    <n v="7"/>
    <n v="6"/>
    <n v="4"/>
    <n v="5"/>
    <s v="Yes"/>
    <x v="0"/>
    <x v="1"/>
    <s v="Wealth Creation"/>
    <s v="Less than 1 year"/>
    <x v="3"/>
    <x v="2"/>
    <x v="1"/>
    <x v="1"/>
    <s v="Retirement Plan"/>
    <s v="Dividend"/>
    <x v="2"/>
    <s v="Tax Incentives"/>
    <s v="High Interest Rates"/>
    <s v="Internet"/>
  </r>
  <r>
    <x v="0"/>
    <n v="24"/>
    <x v="1"/>
    <s v="No"/>
    <n v="2"/>
    <n v="1"/>
    <n v="3"/>
    <n v="6"/>
    <n v="4"/>
    <n v="5"/>
    <n v="7"/>
    <s v="No"/>
    <x v="0"/>
    <x v="1"/>
    <s v="Wealth Creation"/>
    <s v="Less than 1 year"/>
    <x v="3"/>
    <x v="2"/>
    <x v="0"/>
    <x v="1"/>
    <s v="Retirement Plan"/>
    <s v="Capital Appreciation"/>
    <x v="0"/>
    <s v="Safe Investment"/>
    <s v="Risk Free"/>
    <s v="Internet"/>
  </r>
  <r>
    <x v="0"/>
    <n v="24"/>
    <x v="1"/>
    <s v="No"/>
    <n v="7"/>
    <n v="5"/>
    <n v="4"/>
    <n v="6"/>
    <n v="3"/>
    <n v="1"/>
    <n v="2"/>
    <s v="No"/>
    <x v="2"/>
    <x v="0"/>
    <s v="Wealth Creation"/>
    <s v="1-3 years"/>
    <x v="0"/>
    <x v="2"/>
    <x v="2"/>
    <x v="0"/>
    <s v="Retirement Plan"/>
    <s v="Liquidity"/>
    <x v="2"/>
    <s v="Safe Investment"/>
    <s v="Risk Free"/>
    <s v="Internet"/>
  </r>
  <r>
    <x v="0"/>
    <n v="27"/>
    <x v="2"/>
    <s v="Yes"/>
    <n v="3"/>
    <n v="6"/>
    <n v="4"/>
    <n v="2"/>
    <n v="5"/>
    <n v="1"/>
    <n v="7"/>
    <s v="Yes"/>
    <x v="0"/>
    <x v="0"/>
    <s v="Wealth Creation"/>
    <s v="3-5 years"/>
    <x v="2"/>
    <x v="0"/>
    <x v="0"/>
    <x v="1"/>
    <s v="Retirement Plan"/>
    <s v="Capital Appreciation"/>
    <x v="0"/>
    <s v="Assured Returns"/>
    <s v="High Interest Rates"/>
    <s v="Financial Consultants"/>
  </r>
  <r>
    <x v="1"/>
    <n v="21"/>
    <x v="1"/>
    <s v="Yes"/>
    <n v="2"/>
    <n v="3"/>
    <n v="7"/>
    <n v="4"/>
    <n v="6"/>
    <n v="1"/>
    <n v="5"/>
    <s v="Yes"/>
    <x v="2"/>
    <x v="0"/>
    <s v="Wealth Creation"/>
    <s v="3-5 years"/>
    <x v="2"/>
    <x v="0"/>
    <x v="0"/>
    <x v="0"/>
    <s v="Retirement Plan"/>
    <s v="Capital Appreciation"/>
    <x v="0"/>
    <s v="Assured Returns"/>
    <s v="Risk Free"/>
    <s v="Newspapers and Magazines"/>
  </r>
  <r>
    <x v="1"/>
    <n v="35"/>
    <x v="0"/>
    <s v="Yes"/>
    <n v="2"/>
    <n v="4"/>
    <n v="7"/>
    <n v="5"/>
    <n v="3"/>
    <n v="1"/>
    <n v="6"/>
    <s v="Yes"/>
    <x v="0"/>
    <x v="2"/>
    <s v="Savings for Future"/>
    <s v="1-3 years"/>
    <x v="0"/>
    <x v="1"/>
    <x v="0"/>
    <x v="1"/>
    <s v="Retirement Plan"/>
    <s v="Capital Appreciation"/>
    <x v="2"/>
    <s v="Safe Investment"/>
    <s v="Fixed Returns"/>
    <s v="Television"/>
  </r>
  <r>
    <x v="1"/>
    <n v="31"/>
    <x v="0"/>
    <s v="Yes"/>
    <n v="1"/>
    <n v="3"/>
    <n v="7"/>
    <n v="4"/>
    <n v="5"/>
    <n v="2"/>
    <n v="6"/>
    <s v="Yes"/>
    <x v="0"/>
    <x v="0"/>
    <s v="Wealth Creation"/>
    <s v="3-5 years"/>
    <x v="2"/>
    <x v="0"/>
    <x v="2"/>
    <x v="2"/>
    <s v="Retirement Plan"/>
    <s v="Capital Appreciation"/>
    <x v="2"/>
    <s v="Assured Returns"/>
    <s v="Fixed Returns"/>
    <s v="Newspapers and Magazines"/>
  </r>
  <r>
    <x v="0"/>
    <n v="35"/>
    <x v="0"/>
    <s v="Yes"/>
    <n v="2"/>
    <n v="4"/>
    <n v="7"/>
    <n v="5"/>
    <n v="3"/>
    <n v="1"/>
    <n v="6"/>
    <s v="Yes"/>
    <x v="2"/>
    <x v="2"/>
    <s v="Savings for Future"/>
    <s v="3-5 years"/>
    <x v="2"/>
    <x v="0"/>
    <x v="0"/>
    <x v="0"/>
    <s v="Retirement Plan"/>
    <s v="Capital Appreciation"/>
    <x v="0"/>
    <s v="Assured Returns"/>
    <s v="Risk Free"/>
    <s v="Financial Consultants"/>
  </r>
  <r>
    <x v="1"/>
    <n v="29"/>
    <x v="2"/>
    <s v="Yes"/>
    <n v="2"/>
    <n v="5"/>
    <n v="7"/>
    <n v="6"/>
    <n v="3"/>
    <n v="1"/>
    <n v="4"/>
    <s v="Yes"/>
    <x v="2"/>
    <x v="0"/>
    <s v="Wealth Creation"/>
    <s v="1-3 years"/>
    <x v="0"/>
    <x v="0"/>
    <x v="0"/>
    <x v="0"/>
    <s v="Retirement Plan"/>
    <s v="Capital Appreciation"/>
    <x v="2"/>
    <s v="Assured Returns"/>
    <s v="Fixed Returns"/>
    <s v="Financial Consultants"/>
  </r>
  <r>
    <x v="0"/>
    <n v="21"/>
    <x v="1"/>
    <s v="No"/>
    <n v="1"/>
    <n v="2"/>
    <n v="3"/>
    <n v="4"/>
    <n v="5"/>
    <n v="6"/>
    <n v="7"/>
    <s v="No"/>
    <x v="0"/>
    <x v="0"/>
    <s v="Savings for Future"/>
    <s v="1-3 years"/>
    <x v="0"/>
    <x v="1"/>
    <x v="0"/>
    <x v="0"/>
    <s v="Education"/>
    <s v="Dividend"/>
    <x v="0"/>
    <s v="Safe Investment"/>
    <s v="Risk Free"/>
    <s v="Internet"/>
  </r>
  <r>
    <x v="0"/>
    <n v="28"/>
    <x v="2"/>
    <s v="Yes"/>
    <n v="2"/>
    <n v="3"/>
    <n v="7"/>
    <n v="4"/>
    <n v="5"/>
    <n v="1"/>
    <n v="6"/>
    <s v="Yes"/>
    <x v="0"/>
    <x v="0"/>
    <s v="Wealth Creation"/>
    <s v="1-3 years"/>
    <x v="0"/>
    <x v="0"/>
    <x v="0"/>
    <x v="0"/>
    <s v="Retirement Plan"/>
    <s v="Capital Appreciation"/>
    <x v="2"/>
    <s v="Assured Returns"/>
    <s v="Risk Free"/>
    <s v="Newspapers and Magazines"/>
  </r>
  <r>
    <x v="0"/>
    <n v="25"/>
    <x v="1"/>
    <s v="Yes"/>
    <n v="2"/>
    <n v="3"/>
    <n v="7"/>
    <n v="5"/>
    <n v="4"/>
    <n v="1"/>
    <n v="6"/>
    <s v="Yes"/>
    <x v="0"/>
    <x v="0"/>
    <s v="Wealth Creation"/>
    <s v="1-3 years"/>
    <x v="0"/>
    <x v="0"/>
    <x v="0"/>
    <x v="2"/>
    <s v="Health Care"/>
    <s v="Dividend"/>
    <x v="0"/>
    <s v="Assured Returns"/>
    <s v="Risk Free"/>
    <s v="Financial Consultants"/>
  </r>
  <r>
    <x v="1"/>
    <n v="27"/>
    <x v="2"/>
    <s v="Yes"/>
    <n v="2"/>
    <n v="3"/>
    <n v="7"/>
    <n v="5"/>
    <n v="4"/>
    <n v="1"/>
    <n v="6"/>
    <s v="Yes"/>
    <x v="0"/>
    <x v="0"/>
    <s v="Wealth Creation"/>
    <s v="1-3 years"/>
    <x v="0"/>
    <x v="0"/>
    <x v="0"/>
    <x v="0"/>
    <s v="Health Care"/>
    <s v="Capital Appreciation"/>
    <x v="2"/>
    <s v="Assured Returns"/>
    <s v="Risk Free"/>
    <s v="Newspapers and Magazines"/>
  </r>
  <r>
    <x v="0"/>
    <n v="28"/>
    <x v="2"/>
    <s v="Yes"/>
    <n v="3"/>
    <n v="2"/>
    <n v="7"/>
    <n v="5"/>
    <n v="4"/>
    <n v="1"/>
    <n v="6"/>
    <s v="Yes"/>
    <x v="2"/>
    <x v="2"/>
    <s v="Wealth Creation"/>
    <s v="1-3 years"/>
    <x v="0"/>
    <x v="0"/>
    <x v="0"/>
    <x v="2"/>
    <s v="Health Care"/>
    <s v="Capital Appreciation"/>
    <x v="2"/>
    <s v="Assured Returns"/>
    <s v="Risk Free"/>
    <s v="Television"/>
  </r>
  <r>
    <x v="1"/>
    <n v="27"/>
    <x v="2"/>
    <s v="Yes"/>
    <n v="3"/>
    <n v="2"/>
    <n v="7"/>
    <n v="4"/>
    <n v="5"/>
    <n v="1"/>
    <n v="6"/>
    <s v="Yes"/>
    <x v="0"/>
    <x v="0"/>
    <s v="Wealth Creation"/>
    <s v="1-3 years"/>
    <x v="0"/>
    <x v="0"/>
    <x v="0"/>
    <x v="0"/>
    <s v="Retirement Plan"/>
    <s v="Capital Appreciation"/>
    <x v="0"/>
    <s v="Assured Returns"/>
    <s v="Risk Free"/>
    <s v="Financial Consultants"/>
  </r>
  <r>
    <x v="1"/>
    <n v="29"/>
    <x v="2"/>
    <s v="Yes"/>
    <n v="3"/>
    <n v="2"/>
    <n v="7"/>
    <n v="4"/>
    <n v="5"/>
    <n v="1"/>
    <n v="6"/>
    <s v="Yes"/>
    <x v="2"/>
    <x v="0"/>
    <s v="Wealth Creation"/>
    <s v="1-3 years"/>
    <x v="0"/>
    <x v="0"/>
    <x v="0"/>
    <x v="0"/>
    <s v="Retirement Plan"/>
    <s v="Capital Appreciation"/>
    <x v="0"/>
    <s v="Assured Returns"/>
    <s v="Risk Free"/>
    <s v="Newspapers and Magazines"/>
  </r>
  <r>
    <x v="1"/>
    <n v="26"/>
    <x v="2"/>
    <s v="Yes"/>
    <n v="3"/>
    <n v="4"/>
    <n v="6"/>
    <n v="5"/>
    <n v="1"/>
    <n v="2"/>
    <n v="7"/>
    <s v="Yes"/>
    <x v="2"/>
    <x v="0"/>
    <s v="Wealth Creation"/>
    <s v="3-5 years"/>
    <x v="2"/>
    <x v="0"/>
    <x v="0"/>
    <x v="2"/>
    <s v="Health Care"/>
    <s v="Capital Appreciation"/>
    <x v="2"/>
    <s v="Assured Returns"/>
    <s v="Risk Free"/>
    <s v="Newspapers and Magazines"/>
  </r>
  <r>
    <x v="1"/>
    <n v="29"/>
    <x v="2"/>
    <s v="Yes"/>
    <n v="2"/>
    <n v="4"/>
    <n v="7"/>
    <n v="5"/>
    <n v="3"/>
    <n v="1"/>
    <n v="6"/>
    <s v="Yes"/>
    <x v="0"/>
    <x v="2"/>
    <s v="Wealth Creation"/>
    <s v="3-5 years"/>
    <x v="2"/>
    <x v="1"/>
    <x v="0"/>
    <x v="0"/>
    <s v="Retirement Plan"/>
    <s v="Capital Appreciation"/>
    <x v="0"/>
    <s v="Assured Returns"/>
    <s v="Fixed Returns"/>
    <s v="Financial Consultants"/>
  </r>
  <r>
    <x v="0"/>
    <n v="24"/>
    <x v="1"/>
    <s v="Yes"/>
    <n v="2"/>
    <n v="4"/>
    <n v="5"/>
    <n v="6"/>
    <n v="3"/>
    <n v="1"/>
    <n v="7"/>
    <s v="Yes"/>
    <x v="2"/>
    <x v="0"/>
    <s v="Wealth Creation"/>
    <s v="3-5 years"/>
    <x v="2"/>
    <x v="0"/>
    <x v="0"/>
    <x v="1"/>
    <s v="Health Care"/>
    <s v="Capital Appreciation"/>
    <x v="0"/>
    <s v="Assured Returns"/>
    <s v="Risk Free"/>
    <s v="Newspapers and Magazines"/>
  </r>
  <r>
    <x v="1"/>
    <n v="27"/>
    <x v="2"/>
    <s v="Yes"/>
    <n v="3"/>
    <n v="4"/>
    <n v="6"/>
    <n v="5"/>
    <n v="2"/>
    <n v="1"/>
    <n v="7"/>
    <s v="Yes"/>
    <x v="0"/>
    <x v="0"/>
    <s v="Wealth Creation"/>
    <s v="3-5 years"/>
    <x v="2"/>
    <x v="0"/>
    <x v="0"/>
    <x v="0"/>
    <s v="Retirement Plan"/>
    <s v="Capital Appreciation"/>
    <x v="0"/>
    <s v="Assured Returns"/>
    <s v="Risk Free"/>
    <s v="Financial Consultants"/>
  </r>
  <r>
    <x v="1"/>
    <n v="25"/>
    <x v="1"/>
    <s v="Yes"/>
    <n v="2"/>
    <n v="4"/>
    <n v="6"/>
    <n v="5"/>
    <n v="3"/>
    <n v="1"/>
    <n v="7"/>
    <s v="Yes"/>
    <x v="2"/>
    <x v="2"/>
    <s v="Savings for Future"/>
    <s v="3-5 years"/>
    <x v="2"/>
    <x v="1"/>
    <x v="0"/>
    <x v="3"/>
    <s v="Health Care"/>
    <s v="Liquidity"/>
    <x v="0"/>
    <s v="Assured Returns"/>
    <s v="Risk Free"/>
    <s v="Financial Consultants"/>
  </r>
  <r>
    <x v="0"/>
    <n v="26"/>
    <x v="2"/>
    <s v="Yes"/>
    <n v="2"/>
    <n v="3"/>
    <n v="7"/>
    <n v="5"/>
    <n v="4"/>
    <n v="1"/>
    <n v="6"/>
    <s v="Yes"/>
    <x v="0"/>
    <x v="0"/>
    <s v="Wealth Creation"/>
    <s v="3-5 years"/>
    <x v="2"/>
    <x v="0"/>
    <x v="2"/>
    <x v="3"/>
    <s v="Retirement Plan"/>
    <s v="Capital Appreciation"/>
    <x v="0"/>
    <s v="Assured Returns"/>
    <s v="Risk Free"/>
    <s v="Newspapers and Magazines"/>
  </r>
  <r>
    <x v="0"/>
    <n v="32"/>
    <x v="0"/>
    <s v="Yes"/>
    <n v="3"/>
    <n v="4"/>
    <n v="7"/>
    <n v="5"/>
    <n v="1"/>
    <n v="2"/>
    <n v="6"/>
    <s v="Yes"/>
    <x v="2"/>
    <x v="2"/>
    <s v="Wealth Creation"/>
    <s v="3-5 years"/>
    <x v="2"/>
    <x v="0"/>
    <x v="0"/>
    <x v="0"/>
    <s v="Retirement Plan"/>
    <s v="Capital Appreciation"/>
    <x v="0"/>
    <s v="Assured Returns"/>
    <s v="Fixed Returns"/>
    <s v="Financial Consultants"/>
  </r>
  <r>
    <x v="1"/>
    <n v="26"/>
    <x v="2"/>
    <s v="Yes"/>
    <n v="3"/>
    <n v="4"/>
    <n v="6"/>
    <n v="5"/>
    <n v="1"/>
    <n v="2"/>
    <n v="7"/>
    <s v="Yes"/>
    <x v="0"/>
    <x v="0"/>
    <s v="Wealth Creation"/>
    <s v="3-5 years"/>
    <x v="2"/>
    <x v="0"/>
    <x v="0"/>
    <x v="0"/>
    <s v="Retirement Plan"/>
    <s v="Dividend"/>
    <x v="2"/>
    <s v="Assured Returns"/>
    <s v="Fixed Returns"/>
    <s v="Financial Consultants"/>
  </r>
  <r>
    <x v="1"/>
    <n v="31"/>
    <x v="0"/>
    <s v="Yes"/>
    <n v="2"/>
    <n v="3"/>
    <n v="7"/>
    <n v="6"/>
    <n v="4"/>
    <n v="1"/>
    <n v="5"/>
    <s v="Yes"/>
    <x v="2"/>
    <x v="2"/>
    <s v="Savings for Future"/>
    <s v="1-3 years"/>
    <x v="0"/>
    <x v="0"/>
    <x v="0"/>
    <x v="2"/>
    <s v="Health Care"/>
    <s v="Capital Appreciation"/>
    <x v="2"/>
    <s v="Safe Investment"/>
    <s v="Fixed Returns"/>
    <s v="Television"/>
  </r>
  <r>
    <x v="1"/>
    <n v="29"/>
    <x v="2"/>
    <s v="Yes"/>
    <n v="2"/>
    <n v="3"/>
    <n v="6"/>
    <n v="5"/>
    <n v="1"/>
    <n v="4"/>
    <n v="7"/>
    <s v="Yes"/>
    <x v="0"/>
    <x v="0"/>
    <s v="Wealth Creation"/>
    <s v="1-3 years"/>
    <x v="0"/>
    <x v="0"/>
    <x v="0"/>
    <x v="1"/>
    <s v="Retirement Plan"/>
    <s v="Capital Appreciation"/>
    <x v="0"/>
    <s v="Assured Returns"/>
    <s v="Risk Free"/>
    <s v="Television"/>
  </r>
  <r>
    <x v="0"/>
    <n v="34"/>
    <x v="0"/>
    <s v="Yes"/>
    <n v="5"/>
    <n v="4"/>
    <n v="3"/>
    <n v="2"/>
    <n v="7"/>
    <n v="1"/>
    <n v="6"/>
    <s v="Yes"/>
    <x v="0"/>
    <x v="1"/>
    <s v="Returns"/>
    <s v="3-5 years"/>
    <x v="2"/>
    <x v="0"/>
    <x v="1"/>
    <x v="0"/>
    <s v="Retirement Plan"/>
    <s v="Capital Appreciation"/>
    <x v="1"/>
    <s v="Safe Investment"/>
    <s v="Fixed Returns"/>
    <s v="Newspapers and Magazines"/>
  </r>
  <r>
    <x v="1"/>
    <n v="27"/>
    <x v="2"/>
    <s v="Yes"/>
    <n v="4"/>
    <n v="5"/>
    <n v="1"/>
    <n v="2"/>
    <n v="7"/>
    <n v="3"/>
    <n v="6"/>
    <s v="No"/>
    <x v="0"/>
    <x v="2"/>
    <s v="Wealth Creation"/>
    <s v="1-3 years"/>
    <x v="0"/>
    <x v="0"/>
    <x v="1"/>
    <x v="0"/>
    <s v="Education"/>
    <s v="Capital Appreciation"/>
    <x v="1"/>
    <s v="Safe Investment"/>
    <s v="Fixed Returns"/>
    <s v="Television"/>
  </r>
  <r>
    <x v="0"/>
    <n v="31"/>
    <x v="0"/>
    <s v="Yes"/>
    <n v="2"/>
    <n v="4"/>
    <n v="7"/>
    <n v="6"/>
    <n v="3"/>
    <n v="1"/>
    <n v="5"/>
    <s v="Yes"/>
    <x v="0"/>
    <x v="0"/>
    <s v="Wealth Creation"/>
    <s v="3-5 years"/>
    <x v="2"/>
    <x v="0"/>
    <x v="0"/>
    <x v="2"/>
    <s v="Retirement Plan"/>
    <s v="Capital Appreciation"/>
    <x v="0"/>
    <s v="Assured Returns"/>
    <s v="Fixed Returns"/>
    <s v="Financial Consultants"/>
  </r>
  <r>
    <x v="1"/>
    <n v="27"/>
    <x v="2"/>
    <s v="Yes"/>
    <n v="2"/>
    <n v="4"/>
    <n v="7"/>
    <n v="5"/>
    <n v="1"/>
    <n v="3"/>
    <n v="6"/>
    <s v="Yes"/>
    <x v="0"/>
    <x v="0"/>
    <s v="Wealth Creation"/>
    <s v="3-5 years"/>
    <x v="2"/>
    <x v="0"/>
    <x v="2"/>
    <x v="1"/>
    <s v="Health Care"/>
    <s v="Capital Appreciation"/>
    <x v="2"/>
    <s v="Assured Returns"/>
    <s v="Fixed Returns"/>
    <s v="Newspapers and Magazines"/>
  </r>
  <r>
    <x v="1"/>
    <n v="26"/>
    <x v="2"/>
    <s v="Yes"/>
    <n v="2"/>
    <n v="3"/>
    <n v="6"/>
    <n v="4"/>
    <n v="1"/>
    <n v="5"/>
    <n v="7"/>
    <s v="Yes"/>
    <x v="0"/>
    <x v="0"/>
    <s v="Returns"/>
    <s v="1-3 years"/>
    <x v="0"/>
    <x v="0"/>
    <x v="0"/>
    <x v="2"/>
    <s v="Education"/>
    <s v="Dividend"/>
    <x v="0"/>
    <s v="Safe Investment"/>
    <s v="Risk Free"/>
    <s v="Newspapers and Magazines"/>
  </r>
  <r>
    <x v="1"/>
    <n v="27"/>
    <x v="2"/>
    <s v="Yes"/>
    <n v="2"/>
    <n v="3"/>
    <n v="6"/>
    <n v="5"/>
    <n v="4"/>
    <n v="1"/>
    <n v="7"/>
    <s v="Yes"/>
    <x v="0"/>
    <x v="0"/>
    <s v="Wealth Creation"/>
    <s v="1-3 years"/>
    <x v="0"/>
    <x v="1"/>
    <x v="0"/>
    <x v="0"/>
    <s v="Health Care"/>
    <s v="Capital Appreciation"/>
    <x v="0"/>
    <s v="Safe Investment"/>
    <s v="Fixed Returns"/>
    <s v="Financial Consultants"/>
  </r>
  <r>
    <x v="1"/>
    <n v="30"/>
    <x v="2"/>
    <s v="Yes"/>
    <n v="1"/>
    <n v="4"/>
    <n v="6"/>
    <n v="5"/>
    <n v="3"/>
    <n v="2"/>
    <n v="7"/>
    <s v="Yes"/>
    <x v="2"/>
    <x v="2"/>
    <s v="Wealth Creation"/>
    <s v="3-5 years"/>
    <x v="2"/>
    <x v="0"/>
    <x v="0"/>
    <x v="2"/>
    <s v="Health Care"/>
    <s v="Capital Appreciation"/>
    <x v="0"/>
    <s v="Assured Returns"/>
    <s v="Fixed Returns"/>
    <s v="Financial Consultants"/>
  </r>
  <r>
    <x v="1"/>
    <n v="30"/>
    <x v="2"/>
    <s v="Yes"/>
    <n v="2"/>
    <n v="4"/>
    <n v="7"/>
    <n v="5"/>
    <n v="1"/>
    <n v="3"/>
    <n v="6"/>
    <s v="Yes"/>
    <x v="0"/>
    <x v="0"/>
    <s v="Wealth Creation"/>
    <s v="1-3 years"/>
    <x v="0"/>
    <x v="0"/>
    <x v="0"/>
    <x v="1"/>
    <s v="Retirement Plan"/>
    <s v="Capital Appreciation"/>
    <x v="0"/>
    <s v="Assured Returns"/>
    <s v="Risk Free"/>
    <s v="Newspapers and Magazines"/>
  </r>
  <r>
    <x v="1"/>
    <n v="25"/>
    <x v="1"/>
    <s v="Yes"/>
    <n v="5"/>
    <n v="4"/>
    <n v="7"/>
    <n v="6"/>
    <n v="1"/>
    <n v="2"/>
    <n v="3"/>
    <s v="Yes"/>
    <x v="2"/>
    <x v="2"/>
    <s v="Savings for Future"/>
    <s v="3-5 years"/>
    <x v="2"/>
    <x v="0"/>
    <x v="2"/>
    <x v="3"/>
    <s v="Health Care"/>
    <s v="Capital Appreciation"/>
    <x v="0"/>
    <s v="Safe Investment"/>
    <s v="Fixed Returns"/>
    <s v="Financial Consultants"/>
  </r>
  <r>
    <x v="1"/>
    <n v="31"/>
    <x v="0"/>
    <s v="Yes"/>
    <n v="2"/>
    <n v="4"/>
    <n v="7"/>
    <n v="5"/>
    <n v="3"/>
    <n v="1"/>
    <n v="6"/>
    <s v="Yes"/>
    <x v="2"/>
    <x v="2"/>
    <s v="Wealth Creation"/>
    <s v="1-3 years"/>
    <x v="0"/>
    <x v="1"/>
    <x v="0"/>
    <x v="1"/>
    <s v="Health Care"/>
    <s v="Dividend"/>
    <x v="2"/>
    <s v="Assured Returns"/>
    <s v="Fixed Returns"/>
    <s v="Newspapers and Magazines"/>
  </r>
  <r>
    <x v="1"/>
    <n v="29"/>
    <x v="2"/>
    <s v="Yes"/>
    <n v="4"/>
    <n v="3"/>
    <n v="5"/>
    <n v="7"/>
    <n v="2"/>
    <n v="1"/>
    <n v="6"/>
    <s v="Yes"/>
    <x v="0"/>
    <x v="0"/>
    <s v="Wealth Creation"/>
    <s v="3-5 years"/>
    <x v="2"/>
    <x v="0"/>
    <x v="0"/>
    <x v="2"/>
    <s v="Retirement Plan"/>
    <s v="Dividend"/>
    <x v="0"/>
    <s v="Safe Investment"/>
    <s v="Fixed Returns"/>
    <s v="Financial Consulta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7AF6B7-B6D5-4448-B1E8-1CDB6658C5E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5:C20" firstHeaderRow="1" firstDataRow="2" firstDataCol="1"/>
  <pivotFields count="26">
    <pivotField axis="axisCol"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9"/>
  </rowFields>
  <rowItems count="4">
    <i>
      <x v="2"/>
    </i>
    <i>
      <x/>
    </i>
    <i>
      <x v="1"/>
    </i>
    <i>
      <x v="3"/>
    </i>
  </rowItems>
  <colFields count="1">
    <field x="0"/>
  </colFields>
  <colItems count="2">
    <i>
      <x/>
    </i>
    <i>
      <x v="1"/>
    </i>
  </colItems>
  <dataFields count="1">
    <dataField name="Count of Age Group" fld="2" subtotal="count" baseField="0" baseItem="0"/>
  </dataFields>
  <formats count="5">
    <format dxfId="169">
      <pivotArea type="all" dataOnly="0" outline="0" fieldPosition="0"/>
    </format>
    <format dxfId="170">
      <pivotArea outline="0" collapsedLevelsAreSubtotals="1" fieldPosition="0"/>
    </format>
    <format dxfId="171">
      <pivotArea field="19" type="button" dataOnly="0" labelOnly="1" outline="0" axis="axisRow" fieldPosition="0"/>
    </format>
    <format dxfId="172">
      <pivotArea dataOnly="0" labelOnly="1" grandRow="1" outline="0" fieldPosition="0"/>
    </format>
    <format dxfId="173">
      <pivotArea dataOnly="0" labelOnly="1" outline="0" axis="axisValues" fieldPosition="0"/>
    </format>
  </formats>
  <chartFormats count="4">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583284-7BFA-4DE3-ADB3-56A0C6CFD8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3:K4" firstHeaderRow="1" firstDataRow="1" firstDataCol="0"/>
  <pivotFields count="26">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Fixed_Deposits" fld="8" baseField="0" baseItem="0" numFmtId="165"/>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486317-85E0-427C-AA85-EB790E8D6DB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5:D30"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2"/>
        <item x="1"/>
        <item t="default"/>
      </items>
    </pivotField>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5">
        <item x="1"/>
        <item x="2"/>
        <item x="0"/>
        <item x="3"/>
        <item t="default"/>
      </items>
    </pivotField>
    <pivotField showAll="0"/>
    <pivotField showAll="0"/>
    <pivotField showAll="0"/>
    <pivotField showAll="0"/>
    <pivotField showAll="0"/>
    <pivotField showAll="0"/>
  </pivotFields>
  <rowFields count="1">
    <field x="16"/>
  </rowFields>
  <rowItems count="4">
    <i>
      <x v="2"/>
    </i>
    <i>
      <x v="3"/>
    </i>
    <i>
      <x v="1"/>
    </i>
    <i>
      <x/>
    </i>
  </rowItems>
  <colFields count="1">
    <field x="13"/>
  </colFields>
  <colItems count="3">
    <i>
      <x/>
    </i>
    <i>
      <x v="1"/>
    </i>
    <i>
      <x v="2"/>
    </i>
  </colItems>
  <dataFields count="1">
    <dataField name="Count of gender" fld="0" subtotal="count" baseField="0" baseItem="0"/>
  </dataFields>
  <formats count="5">
    <format dxfId="179">
      <pivotArea type="all" dataOnly="0" outline="0" fieldPosition="0"/>
    </format>
    <format dxfId="178">
      <pivotArea outline="0" collapsedLevelsAreSubtotals="1" fieldPosition="0"/>
    </format>
    <format dxfId="177">
      <pivotArea field="19" type="button" dataOnly="0" labelOnly="1" outline="0"/>
    </format>
    <format dxfId="176">
      <pivotArea dataOnly="0" labelOnly="1" grandRow="1" outline="0" fieldPosition="0"/>
    </format>
    <format dxfId="175">
      <pivotArea dataOnly="0" labelOnly="1" outline="0" axis="axisValues" fieldPosition="0"/>
    </format>
  </formats>
  <chartFormats count="3">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023E78-30D0-4500-A32F-AA9FC9DA06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I4" firstHeaderRow="1" firstDataRow="1" firstDataCol="0"/>
  <pivotFields count="26">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Government_Bonds" fld="7" baseField="0" baseItem="0" numFmtId="165"/>
  </dataFields>
  <formats count="1">
    <format dxfId="1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362DED-D5D0-4ACD-AE8A-A572465C3A1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7:F8" firstHeaderRow="1" firstDataRow="1" firstDataCol="0"/>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Investors" fld="0" subtotal="count" baseField="0" baseItem="0"/>
  </dataFields>
  <formats count="1">
    <format dxfId="1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56B83C-CAAE-476C-819F-BD0109690B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7:D8" firstHeaderRow="1" firstDataRow="1" firstDataCol="0"/>
  <pivotFields count="2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Gold" fld="10" baseField="0" baseItem="0" numFmtId="166"/>
  </dataFields>
  <formats count="1">
    <format dxfId="1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04B98D-F8D2-47ED-B4CC-A8C413F0C6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6">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Equity_Market" fld="5" baseField="0" baseItem="0" numFmtId="167"/>
  </dataFields>
  <formats count="1">
    <format dxfId="1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7BEC56-A3BB-4230-9F4A-59F209945C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6">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Debentures" fld="6" baseField="0" baseItem="0" numFmtId="165"/>
  </dataFields>
  <formats count="1">
    <format dxfId="1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0ECC34-ECA4-44F8-8C6C-EAF190F221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Mutual_Funds" fld="4" baseField="0" baseItem="0" numFmtId="165"/>
  </dataFields>
  <formats count="2">
    <format dxfId="186">
      <pivotArea outline="0" fieldPosition="0">
        <references count="1">
          <reference field="4294967294" count="1">
            <x v="0"/>
          </reference>
        </references>
      </pivotArea>
    </format>
    <format dxfId="1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665C2B-D81B-43BD-A906-98CFB4537B4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7:H8" firstHeaderRow="1" firstDataRow="1" firstDataCol="0"/>
  <pivotFields count="2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
  </dataFields>
  <formats count="1">
    <format dxfId="1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8DFC24-DFED-4343-B50A-E143B33B785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A8" firstHeaderRow="1" firstDataRow="1" firstDataCol="0"/>
  <pivotFields count="26">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PPF" fld="9" baseField="0" baseItem="0" numFmtId="165"/>
  </dataFields>
  <formats count="1">
    <format dxfId="1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0D5859-01B2-47F7-9D4D-66C4FEAC42F6}"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G25:J29"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axis="axisRow" showAll="0" sortType="descending">
      <items count="4">
        <item x="2"/>
        <item x="0"/>
        <item x="1"/>
        <item t="default"/>
      </items>
    </pivotField>
    <pivotField showAll="0">
      <items count="5">
        <item x="1"/>
        <item x="2"/>
        <item x="0"/>
        <item x="3"/>
        <item t="default"/>
      </items>
    </pivotField>
    <pivotField showAll="0"/>
    <pivotField showAll="0"/>
    <pivotField axis="axisCol" showAll="0">
      <items count="4">
        <item x="0"/>
        <item x="2"/>
        <item x="1"/>
        <item t="default"/>
      </items>
    </pivotField>
    <pivotField showAll="0"/>
    <pivotField showAll="0"/>
    <pivotField showAll="0"/>
  </pivotFields>
  <rowFields count="1">
    <field x="18"/>
  </rowFields>
  <rowItems count="3">
    <i>
      <x/>
    </i>
    <i>
      <x v="1"/>
    </i>
    <i>
      <x v="2"/>
    </i>
  </rowItems>
  <colFields count="1">
    <field x="22"/>
  </colFields>
  <colItems count="3">
    <i>
      <x/>
    </i>
    <i>
      <x v="1"/>
    </i>
    <i>
      <x v="2"/>
    </i>
  </colItems>
  <dataFields count="1">
    <dataField name="Count of gender" fld="0" subtotal="count" baseField="0" baseItem="0"/>
  </dataFields>
  <formats count="5">
    <format dxfId="193">
      <pivotArea type="all" dataOnly="0" outline="0" fieldPosition="0"/>
    </format>
    <format dxfId="192">
      <pivotArea outline="0" collapsedLevelsAreSubtotals="1" fieldPosition="0"/>
    </format>
    <format dxfId="191">
      <pivotArea field="19" type="button" dataOnly="0" labelOnly="1" outline="0"/>
    </format>
    <format dxfId="190">
      <pivotArea dataOnly="0" labelOnly="1" grandRow="1" outline="0" fieldPosition="0"/>
    </format>
    <format dxfId="189">
      <pivotArea dataOnly="0" labelOnly="1" outline="0" axis="axisValues" fieldPosition="0"/>
    </format>
  </formats>
  <chartFormats count="3">
    <chartFormat chart="5" format="6" series="1">
      <pivotArea type="data" outline="0" fieldPosition="0">
        <references count="2">
          <reference field="4294967294" count="1" selected="0">
            <x v="0"/>
          </reference>
          <reference field="22" count="1" selected="0">
            <x v="0"/>
          </reference>
        </references>
      </pivotArea>
    </chartFormat>
    <chartFormat chart="5" format="7" series="1">
      <pivotArea type="data" outline="0" fieldPosition="0">
        <references count="2">
          <reference field="4294967294" count="1" selected="0">
            <x v="0"/>
          </reference>
          <reference field="22" count="1" selected="0">
            <x v="1"/>
          </reference>
        </references>
      </pivotArea>
    </chartFormat>
    <chartFormat chart="5" format="8" series="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AE63F4-61CF-464C-A732-A7474CE0538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K15:N19" firstHeaderRow="1" firstDataRow="2" firstDataCol="1"/>
  <pivotFields count="26">
    <pivotField dataField="1" showAll="0"/>
    <pivotField showAll="0"/>
    <pivotField axis="axisCol" showAll="0">
      <items count="4">
        <item x="1"/>
        <item x="2"/>
        <item x="0"/>
        <item t="default"/>
      </items>
    </pivotField>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0"/>
        <item x="1"/>
        <item t="default"/>
      </items>
    </pivotField>
    <pivotField showAll="0"/>
    <pivotField showAll="0">
      <items count="5">
        <item x="1"/>
        <item x="2"/>
        <item x="0"/>
        <item x="3"/>
        <item t="default"/>
      </items>
    </pivotField>
    <pivotField showAll="0"/>
    <pivotField showAll="0"/>
    <pivotField showAll="0"/>
    <pivotField showAll="0"/>
    <pivotField showAll="0"/>
    <pivotField showAll="0"/>
  </pivotFields>
  <rowFields count="1">
    <field x="12"/>
  </rowFields>
  <rowItems count="3">
    <i>
      <x v="1"/>
    </i>
    <i>
      <x v="2"/>
    </i>
    <i>
      <x/>
    </i>
  </rowItems>
  <colFields count="1">
    <field x="2"/>
  </colFields>
  <colItems count="3">
    <i>
      <x/>
    </i>
    <i>
      <x v="1"/>
    </i>
    <i>
      <x v="2"/>
    </i>
  </colItems>
  <dataFields count="1">
    <dataField name="Count of gender" fld="0" subtotal="count" baseField="0" baseItem="0"/>
  </dataFields>
  <formats count="5">
    <format dxfId="198">
      <pivotArea type="all" dataOnly="0" outline="0" fieldPosition="0"/>
    </format>
    <format dxfId="197">
      <pivotArea outline="0" collapsedLevelsAreSubtotals="1" fieldPosition="0"/>
    </format>
    <format dxfId="196">
      <pivotArea field="19" type="button" dataOnly="0" labelOnly="1" outline="0"/>
    </format>
    <format dxfId="195">
      <pivotArea dataOnly="0" labelOnly="1" grandRow="1" outline="0" fieldPosition="0"/>
    </format>
    <format dxfId="194">
      <pivotArea dataOnly="0" labelOnly="1" outline="0" axis="axisValues" fieldPosition="0"/>
    </format>
  </formats>
  <chartFormats count="3">
    <chartFormat chart="5" format="10" series="1">
      <pivotArea type="data" outline="0" fieldPosition="0">
        <references count="2">
          <reference field="4294967294" count="1" selected="0">
            <x v="0"/>
          </reference>
          <reference field="2" count="1" selected="0">
            <x v="0"/>
          </reference>
        </references>
      </pivotArea>
    </chartFormat>
    <chartFormat chart="5" format="11" series="1">
      <pivotArea type="data" outline="0" fieldPosition="0">
        <references count="2">
          <reference field="4294967294" count="1" selected="0">
            <x v="0"/>
          </reference>
          <reference field="2" count="1" selected="0">
            <x v="1"/>
          </reference>
        </references>
      </pivotArea>
    </chartFormat>
    <chartFormat chart="5" format="1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F61ED3-073C-4E18-A443-3D9CA215ADD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F15:G18" firstHeaderRow="1" firstDataRow="1" firstDataCol="1"/>
  <pivotFields count="26">
    <pivotField dataField="1"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5">
        <item x="1"/>
        <item x="2"/>
        <item x="0"/>
        <item x="3"/>
        <item t="default"/>
      </items>
    </pivotField>
    <pivotField showAll="0"/>
    <pivotField showAll="0"/>
    <pivotField showAll="0"/>
    <pivotField showAll="0"/>
    <pivotField showAll="0"/>
    <pivotField showAll="0"/>
  </pivotFields>
  <rowFields count="1">
    <field x="2"/>
  </rowFields>
  <rowItems count="3">
    <i>
      <x/>
    </i>
    <i>
      <x v="1"/>
    </i>
    <i>
      <x v="2"/>
    </i>
  </rowItems>
  <colItems count="1">
    <i/>
  </colItems>
  <dataFields count="1">
    <dataField name="Count of gender" fld="0" subtotal="count" showDataAs="percentOfTotal" baseField="0" baseItem="0" numFmtId="10"/>
  </dataFields>
  <formats count="6">
    <format dxfId="204">
      <pivotArea type="all" dataOnly="0" outline="0" fieldPosition="0"/>
    </format>
    <format dxfId="203">
      <pivotArea outline="0" collapsedLevelsAreSubtotals="1" fieldPosition="0"/>
    </format>
    <format dxfId="202">
      <pivotArea field="19" type="button" dataOnly="0" labelOnly="1" outline="0"/>
    </format>
    <format dxfId="201">
      <pivotArea dataOnly="0" labelOnly="1" grandRow="1" outline="0" fieldPosition="0"/>
    </format>
    <format dxfId="200">
      <pivotArea dataOnly="0" labelOnly="1" outline="0" axis="axisValues" fieldPosition="0"/>
    </format>
    <format dxfId="199">
      <pivotArea outline="0" fieldPosition="0">
        <references count="1">
          <reference field="4294967294" count="1">
            <x v="0"/>
          </reference>
        </references>
      </pivotArea>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C56CB8-ED27-492A-9EC1-D29F59C2C205}" autoFormatId="16" applyNumberFormats="0" applyBorderFormats="0" applyFontFormats="0" applyPatternFormats="0" applyAlignmentFormats="0" applyWidthHeightFormats="0">
  <queryTableRefresh nextId="27">
    <queryTableFields count="26">
      <queryTableField id="1" name="gender" tableColumnId="1"/>
      <queryTableField id="2" name="age" tableColumnId="2"/>
      <queryTableField id="3" name="Age Group" tableColumnId="3"/>
      <queryTableField id="4" name="Investment_Avenues" tableColumnId="4"/>
      <queryTableField id="5" name="Mutual_Funds" tableColumnId="5"/>
      <queryTableField id="6" name="Equity_Market" tableColumnId="6"/>
      <queryTableField id="7" name="Debentures" tableColumnId="7"/>
      <queryTableField id="8" name="Government_Bonds" tableColumnId="8"/>
      <queryTableField id="9" name="Fixed_Deposits" tableColumnId="9"/>
      <queryTableField id="10" name="PPF" tableColumnId="10"/>
      <queryTableField id="11" name="Gold" tableColumnId="11"/>
      <queryTableField id="12" name="Stock_Marktet" tableColumnId="12"/>
      <queryTableField id="13" name="Factor" tableColumnId="13"/>
      <queryTableField id="14" name="Objective" tableColumnId="14"/>
      <queryTableField id="15" name="Purpose" tableColumnId="15"/>
      <queryTableField id="16" name="Duration" tableColumnId="16"/>
      <queryTableField id="17" name="Duration range " tableColumnId="17"/>
      <queryTableField id="18" name="Invest_Monitor" tableColumnId="18"/>
      <queryTableField id="19" name="Expect" tableColumnId="19"/>
      <queryTableField id="20" name="Avenue" tableColumnId="20"/>
      <queryTableField id="21" name="What are your savings objectives?" tableColumnId="21"/>
      <queryTableField id="22" name="Reason_Equity" tableColumnId="22"/>
      <queryTableField id="23" name="Reason_Mutual" tableColumnId="23"/>
      <queryTableField id="24" name="Reason_Bonds" tableColumnId="24"/>
      <queryTableField id="25" name="Reason_FD" tableColumnId="25"/>
      <queryTableField id="26" name="Sourc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_Monitor1" xr10:uid="{39922B5D-3AE8-45BB-9FB3-AAE47CE99A67}" sourceName="Invest_Monitor">
  <pivotTables>
    <pivotTable tabId="3" name="PivotTable10"/>
    <pivotTable tabId="3" name="PivotTable1"/>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0676241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est_Monitor 1" xr10:uid="{E7B738F3-BFA8-42C0-8EDD-A7FF9B725B1E}" cache="Slicer_Invest_Monitor1" caption="Invest_Monitor" columnCount="3" showCaption="0" style="SlicerStyleLight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B79781-9518-41C5-8A6B-E29681844123}" name="Investment_Preference_Data" displayName="Investment_Preference_Data" ref="A1:Z41" tableType="queryTable" totalsRowShown="0">
  <autoFilter ref="A1:Z41" xr:uid="{AEB79781-9518-41C5-8A6B-E29681844123}"/>
  <tableColumns count="26">
    <tableColumn id="1" xr3:uid="{BEA466FF-BC2E-45BA-B788-FDA97E6ADCD2}" uniqueName="1" name="gender" queryTableFieldId="1" dataDxfId="221"/>
    <tableColumn id="2" xr3:uid="{B53AF319-48C9-4711-90BB-79A71B70BD09}" uniqueName="2" name="age" queryTableFieldId="2"/>
    <tableColumn id="3" xr3:uid="{C8515E00-AA14-467A-8CCC-3FA9730C9DF0}" uniqueName="3" name="Age Group" queryTableFieldId="3" dataDxfId="220"/>
    <tableColumn id="4" xr3:uid="{3A80465D-4AAF-44B8-8EA0-5CF00A3394C9}" uniqueName="4" name="Investment_Avenues" queryTableFieldId="4" dataDxfId="219"/>
    <tableColumn id="5" xr3:uid="{3CF15550-0527-4F41-9BF2-BF73F7E5717C}" uniqueName="5" name="Mutual_Funds" queryTableFieldId="5"/>
    <tableColumn id="6" xr3:uid="{E0E6AAFF-A8BD-410E-95C6-9F394253C23E}" uniqueName="6" name="Equity_Market" queryTableFieldId="6"/>
    <tableColumn id="7" xr3:uid="{75CF6DC6-F5E3-495E-B5C0-C1D625990755}" uniqueName="7" name="Debentures" queryTableFieldId="7"/>
    <tableColumn id="8" xr3:uid="{ADBF5726-DE8C-4879-B956-5E52FFFF1867}" uniqueName="8" name="Government_Bonds" queryTableFieldId="8"/>
    <tableColumn id="9" xr3:uid="{6184B1BC-03CE-41DC-B85B-ABA284BEACF0}" uniqueName="9" name="Fixed_Deposits" queryTableFieldId="9"/>
    <tableColumn id="10" xr3:uid="{9B5EE114-CE3B-4F52-B663-D8C2518C666D}" uniqueName="10" name="PPF" queryTableFieldId="10"/>
    <tableColumn id="11" xr3:uid="{FB71E91E-BF9D-40B5-A7FE-9A14135D7D14}" uniqueName="11" name="Gold" queryTableFieldId="11"/>
    <tableColumn id="12" xr3:uid="{D46DABC4-B925-43E1-95BF-0643CF5A6A6D}" uniqueName="12" name="Stock_Marktet" queryTableFieldId="12" dataDxfId="218"/>
    <tableColumn id="13" xr3:uid="{FD7FD4C9-6CD8-419C-8C4A-5EB0D83C34FE}" uniqueName="13" name="Factor" queryTableFieldId="13" dataDxfId="217"/>
    <tableColumn id="14" xr3:uid="{EC2123FD-4109-4591-8895-33A4B6FD55EA}" uniqueName="14" name="Objective" queryTableFieldId="14" dataDxfId="216"/>
    <tableColumn id="15" xr3:uid="{161254BF-21EC-4E99-97C6-4C15AD4B4249}" uniqueName="15" name="Purpose" queryTableFieldId="15" dataDxfId="215"/>
    <tableColumn id="16" xr3:uid="{0F40B7AD-CE7E-470D-90E0-9D07F727A50F}" uniqueName="16" name="Duration" queryTableFieldId="16" dataDxfId="214"/>
    <tableColumn id="17" xr3:uid="{CB7C689B-44EE-4F8A-AAEF-B698880DE706}" uniqueName="17" name="Duration range " queryTableFieldId="17"/>
    <tableColumn id="18" xr3:uid="{9F8459AC-7147-4A4B-9F56-9986A671B2BE}" uniqueName="18" name="Invest_Monitor" queryTableFieldId="18" dataDxfId="213"/>
    <tableColumn id="19" xr3:uid="{78320577-A479-452C-9379-B949F8272F86}" uniqueName="19" name="Expect" queryTableFieldId="19" dataDxfId="212"/>
    <tableColumn id="20" xr3:uid="{6DD24025-2D39-4EEA-AAC1-FF6E0F198406}" uniqueName="20" name="Avenue" queryTableFieldId="20" dataDxfId="211"/>
    <tableColumn id="21" xr3:uid="{F48BACEC-B3EF-4599-95E9-826E0901FDB9}" uniqueName="21" name="What are your savings objectives?" queryTableFieldId="21" dataDxfId="210"/>
    <tableColumn id="22" xr3:uid="{9520B775-FFC9-4221-9DA6-59A812BD27F9}" uniqueName="22" name="Reason_Equity" queryTableFieldId="22" dataDxfId="209"/>
    <tableColumn id="23" xr3:uid="{B4AFF28A-B181-42A2-963E-5018C06A35CB}" uniqueName="23" name="Reason_Mutual" queryTableFieldId="23" dataDxfId="208"/>
    <tableColumn id="24" xr3:uid="{1BBEDC9B-A360-497A-A985-6FFADD8B18F1}" uniqueName="24" name="Reason_Bonds" queryTableFieldId="24" dataDxfId="207"/>
    <tableColumn id="25" xr3:uid="{7809ADEB-F83F-411F-BD1E-B0653188DB68}" uniqueName="25" name="Reason_FD" queryTableFieldId="25" dataDxfId="206"/>
    <tableColumn id="26" xr3:uid="{489FC94F-DFE9-4D45-BF80-3A5A21CA219B}" uniqueName="26" name="Source" queryTableFieldId="26" dataDxfId="20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FA58-BA1B-4B66-8A43-8D6B64F94C6A}">
  <dimension ref="A1:Z41"/>
  <sheetViews>
    <sheetView workbookViewId="0"/>
  </sheetViews>
  <sheetFormatPr defaultRowHeight="15" x14ac:dyDescent="0.25"/>
  <cols>
    <col min="1" max="1" width="9.5703125" bestFit="1" customWidth="1"/>
    <col min="2" max="2" width="6.42578125" bestFit="1" customWidth="1"/>
    <col min="3" max="3" width="21.5703125" bestFit="1" customWidth="1"/>
    <col min="4" max="4" width="22.42578125" bestFit="1" customWidth="1"/>
    <col min="5" max="5" width="15.85546875" bestFit="1" customWidth="1"/>
    <col min="6" max="6" width="16.140625" bestFit="1" customWidth="1"/>
    <col min="7" max="7" width="14" bestFit="1" customWidth="1"/>
    <col min="8" max="8" width="21.28515625" bestFit="1" customWidth="1"/>
    <col min="9" max="9" width="17.28515625" bestFit="1" customWidth="1"/>
    <col min="10" max="10" width="6.5703125" bestFit="1" customWidth="1"/>
    <col min="11" max="11" width="7.5703125" bestFit="1" customWidth="1"/>
    <col min="12" max="12" width="16.140625" bestFit="1" customWidth="1"/>
    <col min="13" max="13" width="14" bestFit="1" customWidth="1"/>
    <col min="14" max="14" width="19.28515625" bestFit="1" customWidth="1"/>
    <col min="15" max="15" width="16.7109375" bestFit="1" customWidth="1"/>
    <col min="16" max="16" width="15" bestFit="1" customWidth="1"/>
    <col min="17" max="17" width="17.140625" bestFit="1" customWidth="1"/>
    <col min="18" max="18" width="16.85546875" bestFit="1" customWidth="1"/>
    <col min="19" max="19" width="9.42578125" bestFit="1" customWidth="1"/>
    <col min="20" max="20" width="20.42578125" bestFit="1" customWidth="1"/>
    <col min="21" max="21" width="34.42578125" bestFit="1" customWidth="1"/>
    <col min="22" max="22" width="19.28515625" bestFit="1" customWidth="1"/>
    <col min="23" max="23" width="18.85546875" bestFit="1" customWidth="1"/>
    <col min="24" max="24" width="16.5703125" bestFit="1" customWidth="1"/>
    <col min="25" max="25" width="17.5703125" bestFit="1" customWidth="1"/>
    <col min="26" max="26" width="26.285156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s="1" t="s">
        <v>26</v>
      </c>
      <c r="B2">
        <v>34</v>
      </c>
      <c r="C2" s="1" t="s">
        <v>27</v>
      </c>
      <c r="D2" s="1" t="s">
        <v>28</v>
      </c>
      <c r="E2">
        <v>1</v>
      </c>
      <c r="F2">
        <v>2</v>
      </c>
      <c r="G2">
        <v>5</v>
      </c>
      <c r="H2">
        <v>3</v>
      </c>
      <c r="I2">
        <v>7</v>
      </c>
      <c r="J2">
        <v>6</v>
      </c>
      <c r="K2">
        <v>4</v>
      </c>
      <c r="L2" s="1" t="s">
        <v>28</v>
      </c>
      <c r="M2" s="1" t="s">
        <v>29</v>
      </c>
      <c r="N2" s="1" t="s">
        <v>30</v>
      </c>
      <c r="O2" s="1" t="s">
        <v>31</v>
      </c>
      <c r="P2" s="1" t="s">
        <v>32</v>
      </c>
      <c r="Q2" t="s">
        <v>33</v>
      </c>
      <c r="R2" s="1" t="s">
        <v>34</v>
      </c>
      <c r="S2" s="1" t="s">
        <v>35</v>
      </c>
      <c r="T2" s="1" t="s">
        <v>36</v>
      </c>
      <c r="U2" s="1" t="s">
        <v>37</v>
      </c>
      <c r="V2" s="1" t="s">
        <v>30</v>
      </c>
      <c r="W2" s="1" t="s">
        <v>38</v>
      </c>
      <c r="X2" s="1" t="s">
        <v>39</v>
      </c>
      <c r="Y2" s="1" t="s">
        <v>40</v>
      </c>
      <c r="Z2" s="1" t="s">
        <v>41</v>
      </c>
    </row>
    <row r="3" spans="1:26" x14ac:dyDescent="0.25">
      <c r="A3" s="1" t="s">
        <v>26</v>
      </c>
      <c r="B3">
        <v>23</v>
      </c>
      <c r="C3" s="1" t="s">
        <v>42</v>
      </c>
      <c r="D3" s="1" t="s">
        <v>28</v>
      </c>
      <c r="E3">
        <v>4</v>
      </c>
      <c r="F3">
        <v>3</v>
      </c>
      <c r="G3">
        <v>2</v>
      </c>
      <c r="H3">
        <v>1</v>
      </c>
      <c r="I3">
        <v>5</v>
      </c>
      <c r="J3">
        <v>6</v>
      </c>
      <c r="K3">
        <v>7</v>
      </c>
      <c r="L3" s="1" t="s">
        <v>43</v>
      </c>
      <c r="M3" s="1" t="s">
        <v>44</v>
      </c>
      <c r="N3" s="1" t="s">
        <v>30</v>
      </c>
      <c r="O3" s="1" t="s">
        <v>31</v>
      </c>
      <c r="P3" s="1" t="s">
        <v>45</v>
      </c>
      <c r="Q3" t="s">
        <v>46</v>
      </c>
      <c r="R3" s="1" t="s">
        <v>47</v>
      </c>
      <c r="S3" s="1" t="s">
        <v>35</v>
      </c>
      <c r="T3" s="1" t="s">
        <v>36</v>
      </c>
      <c r="U3" s="1" t="s">
        <v>48</v>
      </c>
      <c r="V3" s="1" t="s">
        <v>49</v>
      </c>
      <c r="W3" s="1" t="s">
        <v>38</v>
      </c>
      <c r="X3" s="1" t="s">
        <v>39</v>
      </c>
      <c r="Y3" s="1" t="s">
        <v>50</v>
      </c>
      <c r="Z3" s="1" t="s">
        <v>51</v>
      </c>
    </row>
    <row r="4" spans="1:26" x14ac:dyDescent="0.25">
      <c r="A4" s="1" t="s">
        <v>52</v>
      </c>
      <c r="B4">
        <v>30</v>
      </c>
      <c r="C4" s="1" t="s">
        <v>53</v>
      </c>
      <c r="D4" s="1" t="s">
        <v>28</v>
      </c>
      <c r="E4">
        <v>3</v>
      </c>
      <c r="F4">
        <v>6</v>
      </c>
      <c r="G4">
        <v>4</v>
      </c>
      <c r="H4">
        <v>2</v>
      </c>
      <c r="I4">
        <v>5</v>
      </c>
      <c r="J4">
        <v>1</v>
      </c>
      <c r="K4">
        <v>7</v>
      </c>
      <c r="L4" s="1" t="s">
        <v>28</v>
      </c>
      <c r="M4" s="1" t="s">
        <v>29</v>
      </c>
      <c r="N4" s="1" t="s">
        <v>30</v>
      </c>
      <c r="O4" s="1" t="s">
        <v>31</v>
      </c>
      <c r="P4" s="1" t="s">
        <v>54</v>
      </c>
      <c r="Q4" t="s">
        <v>55</v>
      </c>
      <c r="R4" s="1" t="s">
        <v>56</v>
      </c>
      <c r="S4" s="1" t="s">
        <v>35</v>
      </c>
      <c r="T4" s="1" t="s">
        <v>57</v>
      </c>
      <c r="U4" s="1" t="s">
        <v>37</v>
      </c>
      <c r="V4" s="1" t="s">
        <v>30</v>
      </c>
      <c r="W4" s="1" t="s">
        <v>58</v>
      </c>
      <c r="X4" s="1" t="s">
        <v>59</v>
      </c>
      <c r="Y4" s="1" t="s">
        <v>40</v>
      </c>
      <c r="Z4" s="1" t="s">
        <v>60</v>
      </c>
    </row>
    <row r="5" spans="1:26" x14ac:dyDescent="0.25">
      <c r="A5" s="1" t="s">
        <v>52</v>
      </c>
      <c r="B5">
        <v>22</v>
      </c>
      <c r="C5" s="1" t="s">
        <v>42</v>
      </c>
      <c r="D5" s="1" t="s">
        <v>28</v>
      </c>
      <c r="E5">
        <v>2</v>
      </c>
      <c r="F5">
        <v>1</v>
      </c>
      <c r="G5">
        <v>3</v>
      </c>
      <c r="H5">
        <v>7</v>
      </c>
      <c r="I5">
        <v>6</v>
      </c>
      <c r="J5">
        <v>4</v>
      </c>
      <c r="K5">
        <v>5</v>
      </c>
      <c r="L5" s="1" t="s">
        <v>28</v>
      </c>
      <c r="M5" s="1" t="s">
        <v>29</v>
      </c>
      <c r="N5" s="1" t="s">
        <v>61</v>
      </c>
      <c r="O5" s="1" t="s">
        <v>31</v>
      </c>
      <c r="P5" s="1" t="s">
        <v>62</v>
      </c>
      <c r="Q5" t="s">
        <v>63</v>
      </c>
      <c r="R5" s="1" t="s">
        <v>56</v>
      </c>
      <c r="S5" s="1" t="s">
        <v>64</v>
      </c>
      <c r="T5" s="1" t="s">
        <v>57</v>
      </c>
      <c r="U5" s="1" t="s">
        <v>37</v>
      </c>
      <c r="V5" s="1" t="s">
        <v>49</v>
      </c>
      <c r="W5" s="1" t="s">
        <v>65</v>
      </c>
      <c r="X5" s="1" t="s">
        <v>66</v>
      </c>
      <c r="Y5" s="1" t="s">
        <v>50</v>
      </c>
      <c r="Z5" s="1" t="s">
        <v>67</v>
      </c>
    </row>
    <row r="6" spans="1:26" x14ac:dyDescent="0.25">
      <c r="A6" s="1" t="s">
        <v>26</v>
      </c>
      <c r="B6">
        <v>24</v>
      </c>
      <c r="C6" s="1" t="s">
        <v>42</v>
      </c>
      <c r="D6" s="1" t="s">
        <v>43</v>
      </c>
      <c r="E6">
        <v>2</v>
      </c>
      <c r="F6">
        <v>1</v>
      </c>
      <c r="G6">
        <v>3</v>
      </c>
      <c r="H6">
        <v>6</v>
      </c>
      <c r="I6">
        <v>4</v>
      </c>
      <c r="J6">
        <v>5</v>
      </c>
      <c r="K6">
        <v>7</v>
      </c>
      <c r="L6" s="1" t="s">
        <v>43</v>
      </c>
      <c r="M6" s="1" t="s">
        <v>29</v>
      </c>
      <c r="N6" s="1" t="s">
        <v>61</v>
      </c>
      <c r="O6" s="1" t="s">
        <v>31</v>
      </c>
      <c r="P6" s="1" t="s">
        <v>62</v>
      </c>
      <c r="Q6" t="s">
        <v>63</v>
      </c>
      <c r="R6" s="1" t="s">
        <v>56</v>
      </c>
      <c r="S6" s="1" t="s">
        <v>35</v>
      </c>
      <c r="T6" s="1" t="s">
        <v>57</v>
      </c>
      <c r="U6" s="1" t="s">
        <v>37</v>
      </c>
      <c r="V6" s="1" t="s">
        <v>30</v>
      </c>
      <c r="W6" s="1" t="s">
        <v>38</v>
      </c>
      <c r="X6" s="1" t="s">
        <v>39</v>
      </c>
      <c r="Y6" s="1" t="s">
        <v>68</v>
      </c>
      <c r="Z6" s="1" t="s">
        <v>67</v>
      </c>
    </row>
    <row r="7" spans="1:26" x14ac:dyDescent="0.25">
      <c r="A7" s="1" t="s">
        <v>26</v>
      </c>
      <c r="B7">
        <v>24</v>
      </c>
      <c r="C7" s="1" t="s">
        <v>42</v>
      </c>
      <c r="D7" s="1" t="s">
        <v>43</v>
      </c>
      <c r="E7">
        <v>7</v>
      </c>
      <c r="F7">
        <v>5</v>
      </c>
      <c r="G7">
        <v>4</v>
      </c>
      <c r="H7">
        <v>6</v>
      </c>
      <c r="I7">
        <v>3</v>
      </c>
      <c r="J7">
        <v>1</v>
      </c>
      <c r="K7">
        <v>2</v>
      </c>
      <c r="L7" s="1" t="s">
        <v>43</v>
      </c>
      <c r="M7" s="1" t="s">
        <v>69</v>
      </c>
      <c r="N7" s="1" t="s">
        <v>30</v>
      </c>
      <c r="O7" s="1" t="s">
        <v>31</v>
      </c>
      <c r="P7" s="1" t="s">
        <v>32</v>
      </c>
      <c r="Q7" t="s">
        <v>33</v>
      </c>
      <c r="R7" s="1" t="s">
        <v>56</v>
      </c>
      <c r="S7" s="1" t="s">
        <v>70</v>
      </c>
      <c r="T7" s="1" t="s">
        <v>36</v>
      </c>
      <c r="U7" s="1" t="s">
        <v>37</v>
      </c>
      <c r="V7" s="1" t="s">
        <v>71</v>
      </c>
      <c r="W7" s="1" t="s">
        <v>65</v>
      </c>
      <c r="X7" s="1" t="s">
        <v>39</v>
      </c>
      <c r="Y7" s="1" t="s">
        <v>68</v>
      </c>
      <c r="Z7" s="1" t="s">
        <v>67</v>
      </c>
    </row>
    <row r="8" spans="1:26" x14ac:dyDescent="0.25">
      <c r="A8" s="1" t="s">
        <v>26</v>
      </c>
      <c r="B8">
        <v>27</v>
      </c>
      <c r="C8" s="1" t="s">
        <v>53</v>
      </c>
      <c r="D8" s="1" t="s">
        <v>28</v>
      </c>
      <c r="E8">
        <v>3</v>
      </c>
      <c r="F8">
        <v>6</v>
      </c>
      <c r="G8">
        <v>4</v>
      </c>
      <c r="H8">
        <v>2</v>
      </c>
      <c r="I8">
        <v>5</v>
      </c>
      <c r="J8">
        <v>1</v>
      </c>
      <c r="K8">
        <v>7</v>
      </c>
      <c r="L8" s="1" t="s">
        <v>28</v>
      </c>
      <c r="M8" s="1" t="s">
        <v>29</v>
      </c>
      <c r="N8" s="1" t="s">
        <v>30</v>
      </c>
      <c r="O8" s="1" t="s">
        <v>31</v>
      </c>
      <c r="P8" s="1" t="s">
        <v>54</v>
      </c>
      <c r="Q8" t="s">
        <v>55</v>
      </c>
      <c r="R8" s="1" t="s">
        <v>34</v>
      </c>
      <c r="S8" s="1" t="s">
        <v>35</v>
      </c>
      <c r="T8" s="1" t="s">
        <v>57</v>
      </c>
      <c r="U8" s="1" t="s">
        <v>37</v>
      </c>
      <c r="V8" s="1" t="s">
        <v>30</v>
      </c>
      <c r="W8" s="1" t="s">
        <v>38</v>
      </c>
      <c r="X8" s="1" t="s">
        <v>59</v>
      </c>
      <c r="Y8" s="1" t="s">
        <v>50</v>
      </c>
      <c r="Z8" s="1" t="s">
        <v>51</v>
      </c>
    </row>
    <row r="9" spans="1:26" x14ac:dyDescent="0.25">
      <c r="A9" s="1" t="s">
        <v>52</v>
      </c>
      <c r="B9">
        <v>21</v>
      </c>
      <c r="C9" s="1" t="s">
        <v>42</v>
      </c>
      <c r="D9" s="1" t="s">
        <v>28</v>
      </c>
      <c r="E9">
        <v>2</v>
      </c>
      <c r="F9">
        <v>3</v>
      </c>
      <c r="G9">
        <v>7</v>
      </c>
      <c r="H9">
        <v>4</v>
      </c>
      <c r="I9">
        <v>6</v>
      </c>
      <c r="J9">
        <v>1</v>
      </c>
      <c r="K9">
        <v>5</v>
      </c>
      <c r="L9" s="1" t="s">
        <v>28</v>
      </c>
      <c r="M9" s="1" t="s">
        <v>69</v>
      </c>
      <c r="N9" s="1" t="s">
        <v>30</v>
      </c>
      <c r="O9" s="1" t="s">
        <v>31</v>
      </c>
      <c r="P9" s="1" t="s">
        <v>54</v>
      </c>
      <c r="Q9" t="s">
        <v>55</v>
      </c>
      <c r="R9" s="1" t="s">
        <v>34</v>
      </c>
      <c r="S9" s="1" t="s">
        <v>35</v>
      </c>
      <c r="T9" s="1" t="s">
        <v>36</v>
      </c>
      <c r="U9" s="1" t="s">
        <v>37</v>
      </c>
      <c r="V9" s="1" t="s">
        <v>30</v>
      </c>
      <c r="W9" s="1" t="s">
        <v>38</v>
      </c>
      <c r="X9" s="1" t="s">
        <v>59</v>
      </c>
      <c r="Y9" s="1" t="s">
        <v>68</v>
      </c>
      <c r="Z9" s="1" t="s">
        <v>41</v>
      </c>
    </row>
    <row r="10" spans="1:26" x14ac:dyDescent="0.25">
      <c r="A10" s="1" t="s">
        <v>52</v>
      </c>
      <c r="B10">
        <v>35</v>
      </c>
      <c r="C10" s="1" t="s">
        <v>27</v>
      </c>
      <c r="D10" s="1" t="s">
        <v>28</v>
      </c>
      <c r="E10">
        <v>2</v>
      </c>
      <c r="F10">
        <v>4</v>
      </c>
      <c r="G10">
        <v>7</v>
      </c>
      <c r="H10">
        <v>5</v>
      </c>
      <c r="I10">
        <v>3</v>
      </c>
      <c r="J10">
        <v>1</v>
      </c>
      <c r="K10">
        <v>6</v>
      </c>
      <c r="L10" s="1" t="s">
        <v>28</v>
      </c>
      <c r="M10" s="1" t="s">
        <v>29</v>
      </c>
      <c r="N10" s="1" t="s">
        <v>72</v>
      </c>
      <c r="O10" s="1" t="s">
        <v>73</v>
      </c>
      <c r="P10" s="1" t="s">
        <v>32</v>
      </c>
      <c r="Q10" t="s">
        <v>33</v>
      </c>
      <c r="R10" s="1" t="s">
        <v>47</v>
      </c>
      <c r="S10" s="1" t="s">
        <v>35</v>
      </c>
      <c r="T10" s="1" t="s">
        <v>57</v>
      </c>
      <c r="U10" s="1" t="s">
        <v>37</v>
      </c>
      <c r="V10" s="1" t="s">
        <v>30</v>
      </c>
      <c r="W10" s="1" t="s">
        <v>65</v>
      </c>
      <c r="X10" s="1" t="s">
        <v>39</v>
      </c>
      <c r="Y10" s="1" t="s">
        <v>40</v>
      </c>
      <c r="Z10" s="1" t="s">
        <v>60</v>
      </c>
    </row>
    <row r="11" spans="1:26" x14ac:dyDescent="0.25">
      <c r="A11" s="1" t="s">
        <v>52</v>
      </c>
      <c r="B11">
        <v>31</v>
      </c>
      <c r="C11" s="1" t="s">
        <v>27</v>
      </c>
      <c r="D11" s="1" t="s">
        <v>28</v>
      </c>
      <c r="E11">
        <v>1</v>
      </c>
      <c r="F11">
        <v>3</v>
      </c>
      <c r="G11">
        <v>7</v>
      </c>
      <c r="H11">
        <v>4</v>
      </c>
      <c r="I11">
        <v>5</v>
      </c>
      <c r="J11">
        <v>2</v>
      </c>
      <c r="K11">
        <v>6</v>
      </c>
      <c r="L11" s="1" t="s">
        <v>28</v>
      </c>
      <c r="M11" s="1" t="s">
        <v>29</v>
      </c>
      <c r="N11" s="1" t="s">
        <v>30</v>
      </c>
      <c r="O11" s="1" t="s">
        <v>31</v>
      </c>
      <c r="P11" s="1" t="s">
        <v>54</v>
      </c>
      <c r="Q11" t="s">
        <v>55</v>
      </c>
      <c r="R11" s="1" t="s">
        <v>34</v>
      </c>
      <c r="S11" s="1" t="s">
        <v>70</v>
      </c>
      <c r="T11" s="1" t="s">
        <v>74</v>
      </c>
      <c r="U11" s="1" t="s">
        <v>37</v>
      </c>
      <c r="V11" s="1" t="s">
        <v>30</v>
      </c>
      <c r="W11" s="1" t="s">
        <v>65</v>
      </c>
      <c r="X11" s="1" t="s">
        <v>59</v>
      </c>
      <c r="Y11" s="1" t="s">
        <v>40</v>
      </c>
      <c r="Z11" s="1" t="s">
        <v>41</v>
      </c>
    </row>
    <row r="12" spans="1:26" x14ac:dyDescent="0.25">
      <c r="A12" s="1" t="s">
        <v>26</v>
      </c>
      <c r="B12">
        <v>35</v>
      </c>
      <c r="C12" s="1" t="s">
        <v>27</v>
      </c>
      <c r="D12" s="1" t="s">
        <v>28</v>
      </c>
      <c r="E12">
        <v>2</v>
      </c>
      <c r="F12">
        <v>4</v>
      </c>
      <c r="G12">
        <v>7</v>
      </c>
      <c r="H12">
        <v>5</v>
      </c>
      <c r="I12">
        <v>3</v>
      </c>
      <c r="J12">
        <v>1</v>
      </c>
      <c r="K12">
        <v>6</v>
      </c>
      <c r="L12" s="1" t="s">
        <v>28</v>
      </c>
      <c r="M12" s="1" t="s">
        <v>69</v>
      </c>
      <c r="N12" s="1" t="s">
        <v>72</v>
      </c>
      <c r="O12" s="1" t="s">
        <v>73</v>
      </c>
      <c r="P12" s="1" t="s">
        <v>54</v>
      </c>
      <c r="Q12" t="s">
        <v>55</v>
      </c>
      <c r="R12" s="1" t="s">
        <v>34</v>
      </c>
      <c r="S12" s="1" t="s">
        <v>35</v>
      </c>
      <c r="T12" s="1" t="s">
        <v>36</v>
      </c>
      <c r="U12" s="1" t="s">
        <v>37</v>
      </c>
      <c r="V12" s="1" t="s">
        <v>30</v>
      </c>
      <c r="W12" s="1" t="s">
        <v>38</v>
      </c>
      <c r="X12" s="1" t="s">
        <v>59</v>
      </c>
      <c r="Y12" s="1" t="s">
        <v>68</v>
      </c>
      <c r="Z12" s="1" t="s">
        <v>51</v>
      </c>
    </row>
    <row r="13" spans="1:26" x14ac:dyDescent="0.25">
      <c r="A13" s="1" t="s">
        <v>52</v>
      </c>
      <c r="B13">
        <v>29</v>
      </c>
      <c r="C13" s="1" t="s">
        <v>53</v>
      </c>
      <c r="D13" s="1" t="s">
        <v>28</v>
      </c>
      <c r="E13">
        <v>2</v>
      </c>
      <c r="F13">
        <v>5</v>
      </c>
      <c r="G13">
        <v>7</v>
      </c>
      <c r="H13">
        <v>6</v>
      </c>
      <c r="I13">
        <v>3</v>
      </c>
      <c r="J13">
        <v>1</v>
      </c>
      <c r="K13">
        <v>4</v>
      </c>
      <c r="L13" s="1" t="s">
        <v>28</v>
      </c>
      <c r="M13" s="1" t="s">
        <v>69</v>
      </c>
      <c r="N13" s="1" t="s">
        <v>30</v>
      </c>
      <c r="O13" s="1" t="s">
        <v>31</v>
      </c>
      <c r="P13" s="1" t="s">
        <v>32</v>
      </c>
      <c r="Q13" t="s">
        <v>33</v>
      </c>
      <c r="R13" s="1" t="s">
        <v>34</v>
      </c>
      <c r="S13" s="1" t="s">
        <v>35</v>
      </c>
      <c r="T13" s="1" t="s">
        <v>36</v>
      </c>
      <c r="U13" s="1" t="s">
        <v>37</v>
      </c>
      <c r="V13" s="1" t="s">
        <v>30</v>
      </c>
      <c r="W13" s="1" t="s">
        <v>65</v>
      </c>
      <c r="X13" s="1" t="s">
        <v>59</v>
      </c>
      <c r="Y13" s="1" t="s">
        <v>40</v>
      </c>
      <c r="Z13" s="1" t="s">
        <v>51</v>
      </c>
    </row>
    <row r="14" spans="1:26" x14ac:dyDescent="0.25">
      <c r="A14" s="1" t="s">
        <v>26</v>
      </c>
      <c r="B14">
        <v>21</v>
      </c>
      <c r="C14" s="1" t="s">
        <v>42</v>
      </c>
      <c r="D14" s="1" t="s">
        <v>43</v>
      </c>
      <c r="E14">
        <v>1</v>
      </c>
      <c r="F14">
        <v>2</v>
      </c>
      <c r="G14">
        <v>3</v>
      </c>
      <c r="H14">
        <v>4</v>
      </c>
      <c r="I14">
        <v>5</v>
      </c>
      <c r="J14">
        <v>6</v>
      </c>
      <c r="K14">
        <v>7</v>
      </c>
      <c r="L14" s="1" t="s">
        <v>43</v>
      </c>
      <c r="M14" s="1" t="s">
        <v>29</v>
      </c>
      <c r="N14" s="1" t="s">
        <v>30</v>
      </c>
      <c r="O14" s="1" t="s">
        <v>73</v>
      </c>
      <c r="P14" s="1" t="s">
        <v>32</v>
      </c>
      <c r="Q14" t="s">
        <v>33</v>
      </c>
      <c r="R14" s="1" t="s">
        <v>47</v>
      </c>
      <c r="S14" s="1" t="s">
        <v>35</v>
      </c>
      <c r="T14" s="1" t="s">
        <v>36</v>
      </c>
      <c r="U14" s="1" t="s">
        <v>75</v>
      </c>
      <c r="V14" s="1" t="s">
        <v>49</v>
      </c>
      <c r="W14" s="1" t="s">
        <v>38</v>
      </c>
      <c r="X14" s="1" t="s">
        <v>39</v>
      </c>
      <c r="Y14" s="1" t="s">
        <v>68</v>
      </c>
      <c r="Z14" s="1" t="s">
        <v>67</v>
      </c>
    </row>
    <row r="15" spans="1:26" x14ac:dyDescent="0.25">
      <c r="A15" s="1" t="s">
        <v>26</v>
      </c>
      <c r="B15">
        <v>28</v>
      </c>
      <c r="C15" s="1" t="s">
        <v>53</v>
      </c>
      <c r="D15" s="1" t="s">
        <v>28</v>
      </c>
      <c r="E15">
        <v>2</v>
      </c>
      <c r="F15">
        <v>3</v>
      </c>
      <c r="G15">
        <v>7</v>
      </c>
      <c r="H15">
        <v>4</v>
      </c>
      <c r="I15">
        <v>5</v>
      </c>
      <c r="J15">
        <v>1</v>
      </c>
      <c r="K15">
        <v>6</v>
      </c>
      <c r="L15" s="1" t="s">
        <v>28</v>
      </c>
      <c r="M15" s="1" t="s">
        <v>29</v>
      </c>
      <c r="N15" s="1" t="s">
        <v>30</v>
      </c>
      <c r="O15" s="1" t="s">
        <v>31</v>
      </c>
      <c r="P15" s="1" t="s">
        <v>32</v>
      </c>
      <c r="Q15" t="s">
        <v>33</v>
      </c>
      <c r="R15" s="1" t="s">
        <v>34</v>
      </c>
      <c r="S15" s="1" t="s">
        <v>35</v>
      </c>
      <c r="T15" s="1" t="s">
        <v>36</v>
      </c>
      <c r="U15" s="1" t="s">
        <v>37</v>
      </c>
      <c r="V15" s="1" t="s">
        <v>30</v>
      </c>
      <c r="W15" s="1" t="s">
        <v>65</v>
      </c>
      <c r="X15" s="1" t="s">
        <v>59</v>
      </c>
      <c r="Y15" s="1" t="s">
        <v>68</v>
      </c>
      <c r="Z15" s="1" t="s">
        <v>41</v>
      </c>
    </row>
    <row r="16" spans="1:26" x14ac:dyDescent="0.25">
      <c r="A16" s="1" t="s">
        <v>26</v>
      </c>
      <c r="B16">
        <v>25</v>
      </c>
      <c r="C16" s="1" t="s">
        <v>42</v>
      </c>
      <c r="D16" s="1" t="s">
        <v>28</v>
      </c>
      <c r="E16">
        <v>2</v>
      </c>
      <c r="F16">
        <v>3</v>
      </c>
      <c r="G16">
        <v>7</v>
      </c>
      <c r="H16">
        <v>5</v>
      </c>
      <c r="I16">
        <v>4</v>
      </c>
      <c r="J16">
        <v>1</v>
      </c>
      <c r="K16">
        <v>6</v>
      </c>
      <c r="L16" s="1" t="s">
        <v>28</v>
      </c>
      <c r="M16" s="1" t="s">
        <v>29</v>
      </c>
      <c r="N16" s="1" t="s">
        <v>30</v>
      </c>
      <c r="O16" s="1" t="s">
        <v>31</v>
      </c>
      <c r="P16" s="1" t="s">
        <v>32</v>
      </c>
      <c r="Q16" t="s">
        <v>33</v>
      </c>
      <c r="R16" s="1" t="s">
        <v>34</v>
      </c>
      <c r="S16" s="1" t="s">
        <v>35</v>
      </c>
      <c r="T16" s="1" t="s">
        <v>74</v>
      </c>
      <c r="U16" s="1" t="s">
        <v>48</v>
      </c>
      <c r="V16" s="1" t="s">
        <v>49</v>
      </c>
      <c r="W16" s="1" t="s">
        <v>38</v>
      </c>
      <c r="X16" s="1" t="s">
        <v>59</v>
      </c>
      <c r="Y16" s="1" t="s">
        <v>68</v>
      </c>
      <c r="Z16" s="1" t="s">
        <v>51</v>
      </c>
    </row>
    <row r="17" spans="1:26" x14ac:dyDescent="0.25">
      <c r="A17" s="1" t="s">
        <v>52</v>
      </c>
      <c r="B17">
        <v>27</v>
      </c>
      <c r="C17" s="1" t="s">
        <v>53</v>
      </c>
      <c r="D17" s="1" t="s">
        <v>28</v>
      </c>
      <c r="E17">
        <v>2</v>
      </c>
      <c r="F17">
        <v>3</v>
      </c>
      <c r="G17">
        <v>7</v>
      </c>
      <c r="H17">
        <v>5</v>
      </c>
      <c r="I17">
        <v>4</v>
      </c>
      <c r="J17">
        <v>1</v>
      </c>
      <c r="K17">
        <v>6</v>
      </c>
      <c r="L17" s="1" t="s">
        <v>28</v>
      </c>
      <c r="M17" s="1" t="s">
        <v>29</v>
      </c>
      <c r="N17" s="1" t="s">
        <v>30</v>
      </c>
      <c r="O17" s="1" t="s">
        <v>31</v>
      </c>
      <c r="P17" s="1" t="s">
        <v>32</v>
      </c>
      <c r="Q17" t="s">
        <v>33</v>
      </c>
      <c r="R17" s="1" t="s">
        <v>34</v>
      </c>
      <c r="S17" s="1" t="s">
        <v>35</v>
      </c>
      <c r="T17" s="1" t="s">
        <v>36</v>
      </c>
      <c r="U17" s="1" t="s">
        <v>48</v>
      </c>
      <c r="V17" s="1" t="s">
        <v>30</v>
      </c>
      <c r="W17" s="1" t="s">
        <v>65</v>
      </c>
      <c r="X17" s="1" t="s">
        <v>59</v>
      </c>
      <c r="Y17" s="1" t="s">
        <v>68</v>
      </c>
      <c r="Z17" s="1" t="s">
        <v>41</v>
      </c>
    </row>
    <row r="18" spans="1:26" x14ac:dyDescent="0.25">
      <c r="A18" s="1" t="s">
        <v>26</v>
      </c>
      <c r="B18">
        <v>28</v>
      </c>
      <c r="C18" s="1" t="s">
        <v>53</v>
      </c>
      <c r="D18" s="1" t="s">
        <v>28</v>
      </c>
      <c r="E18">
        <v>3</v>
      </c>
      <c r="F18">
        <v>2</v>
      </c>
      <c r="G18">
        <v>7</v>
      </c>
      <c r="H18">
        <v>5</v>
      </c>
      <c r="I18">
        <v>4</v>
      </c>
      <c r="J18">
        <v>1</v>
      </c>
      <c r="K18">
        <v>6</v>
      </c>
      <c r="L18" s="1" t="s">
        <v>28</v>
      </c>
      <c r="M18" s="1" t="s">
        <v>69</v>
      </c>
      <c r="N18" s="1" t="s">
        <v>72</v>
      </c>
      <c r="O18" s="1" t="s">
        <v>31</v>
      </c>
      <c r="P18" s="1" t="s">
        <v>32</v>
      </c>
      <c r="Q18" t="s">
        <v>33</v>
      </c>
      <c r="R18" s="1" t="s">
        <v>34</v>
      </c>
      <c r="S18" s="1" t="s">
        <v>35</v>
      </c>
      <c r="T18" s="1" t="s">
        <v>74</v>
      </c>
      <c r="U18" s="1" t="s">
        <v>48</v>
      </c>
      <c r="V18" s="1" t="s">
        <v>30</v>
      </c>
      <c r="W18" s="1" t="s">
        <v>65</v>
      </c>
      <c r="X18" s="1" t="s">
        <v>59</v>
      </c>
      <c r="Y18" s="1" t="s">
        <v>68</v>
      </c>
      <c r="Z18" s="1" t="s">
        <v>60</v>
      </c>
    </row>
    <row r="19" spans="1:26" x14ac:dyDescent="0.25">
      <c r="A19" s="1" t="s">
        <v>52</v>
      </c>
      <c r="B19">
        <v>27</v>
      </c>
      <c r="C19" s="1" t="s">
        <v>53</v>
      </c>
      <c r="D19" s="1" t="s">
        <v>28</v>
      </c>
      <c r="E19">
        <v>3</v>
      </c>
      <c r="F19">
        <v>2</v>
      </c>
      <c r="G19">
        <v>7</v>
      </c>
      <c r="H19">
        <v>4</v>
      </c>
      <c r="I19">
        <v>5</v>
      </c>
      <c r="J19">
        <v>1</v>
      </c>
      <c r="K19">
        <v>6</v>
      </c>
      <c r="L19" s="1" t="s">
        <v>28</v>
      </c>
      <c r="M19" s="1" t="s">
        <v>29</v>
      </c>
      <c r="N19" s="1" t="s">
        <v>30</v>
      </c>
      <c r="O19" s="1" t="s">
        <v>31</v>
      </c>
      <c r="P19" s="1" t="s">
        <v>32</v>
      </c>
      <c r="Q19" t="s">
        <v>33</v>
      </c>
      <c r="R19" s="1" t="s">
        <v>34</v>
      </c>
      <c r="S19" s="1" t="s">
        <v>35</v>
      </c>
      <c r="T19" s="1" t="s">
        <v>36</v>
      </c>
      <c r="U19" s="1" t="s">
        <v>37</v>
      </c>
      <c r="V19" s="1" t="s">
        <v>30</v>
      </c>
      <c r="W19" s="1" t="s">
        <v>38</v>
      </c>
      <c r="X19" s="1" t="s">
        <v>59</v>
      </c>
      <c r="Y19" s="1" t="s">
        <v>68</v>
      </c>
      <c r="Z19" s="1" t="s">
        <v>51</v>
      </c>
    </row>
    <row r="20" spans="1:26" x14ac:dyDescent="0.25">
      <c r="A20" s="1" t="s">
        <v>52</v>
      </c>
      <c r="B20">
        <v>29</v>
      </c>
      <c r="C20" s="1" t="s">
        <v>53</v>
      </c>
      <c r="D20" s="1" t="s">
        <v>28</v>
      </c>
      <c r="E20">
        <v>3</v>
      </c>
      <c r="F20">
        <v>2</v>
      </c>
      <c r="G20">
        <v>7</v>
      </c>
      <c r="H20">
        <v>4</v>
      </c>
      <c r="I20">
        <v>5</v>
      </c>
      <c r="J20">
        <v>1</v>
      </c>
      <c r="K20">
        <v>6</v>
      </c>
      <c r="L20" s="1" t="s">
        <v>28</v>
      </c>
      <c r="M20" s="1" t="s">
        <v>69</v>
      </c>
      <c r="N20" s="1" t="s">
        <v>30</v>
      </c>
      <c r="O20" s="1" t="s">
        <v>31</v>
      </c>
      <c r="P20" s="1" t="s">
        <v>32</v>
      </c>
      <c r="Q20" t="s">
        <v>33</v>
      </c>
      <c r="R20" s="1" t="s">
        <v>34</v>
      </c>
      <c r="S20" s="1" t="s">
        <v>35</v>
      </c>
      <c r="T20" s="1" t="s">
        <v>36</v>
      </c>
      <c r="U20" s="1" t="s">
        <v>37</v>
      </c>
      <c r="V20" s="1" t="s">
        <v>30</v>
      </c>
      <c r="W20" s="1" t="s">
        <v>38</v>
      </c>
      <c r="X20" s="1" t="s">
        <v>59</v>
      </c>
      <c r="Y20" s="1" t="s">
        <v>68</v>
      </c>
      <c r="Z20" s="1" t="s">
        <v>41</v>
      </c>
    </row>
    <row r="21" spans="1:26" x14ac:dyDescent="0.25">
      <c r="A21" s="1" t="s">
        <v>52</v>
      </c>
      <c r="B21">
        <v>26</v>
      </c>
      <c r="C21" s="1" t="s">
        <v>53</v>
      </c>
      <c r="D21" s="1" t="s">
        <v>28</v>
      </c>
      <c r="E21">
        <v>3</v>
      </c>
      <c r="F21">
        <v>4</v>
      </c>
      <c r="G21">
        <v>6</v>
      </c>
      <c r="H21">
        <v>5</v>
      </c>
      <c r="I21">
        <v>1</v>
      </c>
      <c r="J21">
        <v>2</v>
      </c>
      <c r="K21">
        <v>7</v>
      </c>
      <c r="L21" s="1" t="s">
        <v>28</v>
      </c>
      <c r="M21" s="1" t="s">
        <v>69</v>
      </c>
      <c r="N21" s="1" t="s">
        <v>30</v>
      </c>
      <c r="O21" s="1" t="s">
        <v>31</v>
      </c>
      <c r="P21" s="1" t="s">
        <v>54</v>
      </c>
      <c r="Q21" t="s">
        <v>55</v>
      </c>
      <c r="R21" s="1" t="s">
        <v>34</v>
      </c>
      <c r="S21" s="1" t="s">
        <v>35</v>
      </c>
      <c r="T21" s="1" t="s">
        <v>74</v>
      </c>
      <c r="U21" s="1" t="s">
        <v>48</v>
      </c>
      <c r="V21" s="1" t="s">
        <v>30</v>
      </c>
      <c r="W21" s="1" t="s">
        <v>65</v>
      </c>
      <c r="X21" s="1" t="s">
        <v>59</v>
      </c>
      <c r="Y21" s="1" t="s">
        <v>68</v>
      </c>
      <c r="Z21" s="1" t="s">
        <v>41</v>
      </c>
    </row>
    <row r="22" spans="1:26" x14ac:dyDescent="0.25">
      <c r="A22" s="1" t="s">
        <v>52</v>
      </c>
      <c r="B22">
        <v>29</v>
      </c>
      <c r="C22" s="1" t="s">
        <v>53</v>
      </c>
      <c r="D22" s="1" t="s">
        <v>28</v>
      </c>
      <c r="E22">
        <v>2</v>
      </c>
      <c r="F22">
        <v>4</v>
      </c>
      <c r="G22">
        <v>7</v>
      </c>
      <c r="H22">
        <v>5</v>
      </c>
      <c r="I22">
        <v>3</v>
      </c>
      <c r="J22">
        <v>1</v>
      </c>
      <c r="K22">
        <v>6</v>
      </c>
      <c r="L22" s="1" t="s">
        <v>28</v>
      </c>
      <c r="M22" s="1" t="s">
        <v>29</v>
      </c>
      <c r="N22" s="1" t="s">
        <v>72</v>
      </c>
      <c r="O22" s="1" t="s">
        <v>31</v>
      </c>
      <c r="P22" s="1" t="s">
        <v>54</v>
      </c>
      <c r="Q22" t="s">
        <v>55</v>
      </c>
      <c r="R22" s="1" t="s">
        <v>47</v>
      </c>
      <c r="S22" s="1" t="s">
        <v>35</v>
      </c>
      <c r="T22" s="1" t="s">
        <v>36</v>
      </c>
      <c r="U22" s="1" t="s">
        <v>37</v>
      </c>
      <c r="V22" s="1" t="s">
        <v>30</v>
      </c>
      <c r="W22" s="1" t="s">
        <v>38</v>
      </c>
      <c r="X22" s="1" t="s">
        <v>59</v>
      </c>
      <c r="Y22" s="1" t="s">
        <v>40</v>
      </c>
      <c r="Z22" s="1" t="s">
        <v>51</v>
      </c>
    </row>
    <row r="23" spans="1:26" x14ac:dyDescent="0.25">
      <c r="A23" s="1" t="s">
        <v>26</v>
      </c>
      <c r="B23">
        <v>24</v>
      </c>
      <c r="C23" s="1" t="s">
        <v>42</v>
      </c>
      <c r="D23" s="1" t="s">
        <v>28</v>
      </c>
      <c r="E23">
        <v>2</v>
      </c>
      <c r="F23">
        <v>4</v>
      </c>
      <c r="G23">
        <v>5</v>
      </c>
      <c r="H23">
        <v>6</v>
      </c>
      <c r="I23">
        <v>3</v>
      </c>
      <c r="J23">
        <v>1</v>
      </c>
      <c r="K23">
        <v>7</v>
      </c>
      <c r="L23" s="1" t="s">
        <v>28</v>
      </c>
      <c r="M23" s="1" t="s">
        <v>69</v>
      </c>
      <c r="N23" s="1" t="s">
        <v>30</v>
      </c>
      <c r="O23" s="1" t="s">
        <v>31</v>
      </c>
      <c r="P23" s="1" t="s">
        <v>54</v>
      </c>
      <c r="Q23" t="s">
        <v>55</v>
      </c>
      <c r="R23" s="1" t="s">
        <v>34</v>
      </c>
      <c r="S23" s="1" t="s">
        <v>35</v>
      </c>
      <c r="T23" s="1" t="s">
        <v>57</v>
      </c>
      <c r="U23" s="1" t="s">
        <v>48</v>
      </c>
      <c r="V23" s="1" t="s">
        <v>30</v>
      </c>
      <c r="W23" s="1" t="s">
        <v>38</v>
      </c>
      <c r="X23" s="1" t="s">
        <v>59</v>
      </c>
      <c r="Y23" s="1" t="s">
        <v>68</v>
      </c>
      <c r="Z23" s="1" t="s">
        <v>41</v>
      </c>
    </row>
    <row r="24" spans="1:26" x14ac:dyDescent="0.25">
      <c r="A24" s="1" t="s">
        <v>52</v>
      </c>
      <c r="B24">
        <v>27</v>
      </c>
      <c r="C24" s="1" t="s">
        <v>53</v>
      </c>
      <c r="D24" s="1" t="s">
        <v>28</v>
      </c>
      <c r="E24">
        <v>3</v>
      </c>
      <c r="F24">
        <v>4</v>
      </c>
      <c r="G24">
        <v>6</v>
      </c>
      <c r="H24">
        <v>5</v>
      </c>
      <c r="I24">
        <v>2</v>
      </c>
      <c r="J24">
        <v>1</v>
      </c>
      <c r="K24">
        <v>7</v>
      </c>
      <c r="L24" s="1" t="s">
        <v>28</v>
      </c>
      <c r="M24" s="1" t="s">
        <v>29</v>
      </c>
      <c r="N24" s="1" t="s">
        <v>30</v>
      </c>
      <c r="O24" s="1" t="s">
        <v>31</v>
      </c>
      <c r="P24" s="1" t="s">
        <v>54</v>
      </c>
      <c r="Q24" t="s">
        <v>55</v>
      </c>
      <c r="R24" s="1" t="s">
        <v>34</v>
      </c>
      <c r="S24" s="1" t="s">
        <v>35</v>
      </c>
      <c r="T24" s="1" t="s">
        <v>36</v>
      </c>
      <c r="U24" s="1" t="s">
        <v>37</v>
      </c>
      <c r="V24" s="1" t="s">
        <v>30</v>
      </c>
      <c r="W24" s="1" t="s">
        <v>38</v>
      </c>
      <c r="X24" s="1" t="s">
        <v>59</v>
      </c>
      <c r="Y24" s="1" t="s">
        <v>68</v>
      </c>
      <c r="Z24" s="1" t="s">
        <v>51</v>
      </c>
    </row>
    <row r="25" spans="1:26" x14ac:dyDescent="0.25">
      <c r="A25" s="1" t="s">
        <v>52</v>
      </c>
      <c r="B25">
        <v>25</v>
      </c>
      <c r="C25" s="1" t="s">
        <v>42</v>
      </c>
      <c r="D25" s="1" t="s">
        <v>28</v>
      </c>
      <c r="E25">
        <v>2</v>
      </c>
      <c r="F25">
        <v>4</v>
      </c>
      <c r="G25">
        <v>6</v>
      </c>
      <c r="H25">
        <v>5</v>
      </c>
      <c r="I25">
        <v>3</v>
      </c>
      <c r="J25">
        <v>1</v>
      </c>
      <c r="K25">
        <v>7</v>
      </c>
      <c r="L25" s="1" t="s">
        <v>28</v>
      </c>
      <c r="M25" s="1" t="s">
        <v>69</v>
      </c>
      <c r="N25" s="1" t="s">
        <v>72</v>
      </c>
      <c r="O25" s="1" t="s">
        <v>73</v>
      </c>
      <c r="P25" s="1" t="s">
        <v>54</v>
      </c>
      <c r="Q25" t="s">
        <v>55</v>
      </c>
      <c r="R25" s="1" t="s">
        <v>47</v>
      </c>
      <c r="S25" s="1" t="s">
        <v>35</v>
      </c>
      <c r="T25" s="1" t="s">
        <v>76</v>
      </c>
      <c r="U25" s="1" t="s">
        <v>48</v>
      </c>
      <c r="V25" s="1" t="s">
        <v>71</v>
      </c>
      <c r="W25" s="1" t="s">
        <v>38</v>
      </c>
      <c r="X25" s="1" t="s">
        <v>59</v>
      </c>
      <c r="Y25" s="1" t="s">
        <v>68</v>
      </c>
      <c r="Z25" s="1" t="s">
        <v>51</v>
      </c>
    </row>
    <row r="26" spans="1:26" x14ac:dyDescent="0.25">
      <c r="A26" s="1" t="s">
        <v>26</v>
      </c>
      <c r="B26">
        <v>26</v>
      </c>
      <c r="C26" s="1" t="s">
        <v>53</v>
      </c>
      <c r="D26" s="1" t="s">
        <v>28</v>
      </c>
      <c r="E26">
        <v>2</v>
      </c>
      <c r="F26">
        <v>3</v>
      </c>
      <c r="G26">
        <v>7</v>
      </c>
      <c r="H26">
        <v>5</v>
      </c>
      <c r="I26">
        <v>4</v>
      </c>
      <c r="J26">
        <v>1</v>
      </c>
      <c r="K26">
        <v>6</v>
      </c>
      <c r="L26" s="1" t="s">
        <v>28</v>
      </c>
      <c r="M26" s="1" t="s">
        <v>29</v>
      </c>
      <c r="N26" s="1" t="s">
        <v>30</v>
      </c>
      <c r="O26" s="1" t="s">
        <v>31</v>
      </c>
      <c r="P26" s="1" t="s">
        <v>54</v>
      </c>
      <c r="Q26" t="s">
        <v>55</v>
      </c>
      <c r="R26" s="1" t="s">
        <v>34</v>
      </c>
      <c r="S26" s="1" t="s">
        <v>70</v>
      </c>
      <c r="T26" s="1" t="s">
        <v>76</v>
      </c>
      <c r="U26" s="1" t="s">
        <v>37</v>
      </c>
      <c r="V26" s="1" t="s">
        <v>30</v>
      </c>
      <c r="W26" s="1" t="s">
        <v>38</v>
      </c>
      <c r="X26" s="1" t="s">
        <v>59</v>
      </c>
      <c r="Y26" s="1" t="s">
        <v>68</v>
      </c>
      <c r="Z26" s="1" t="s">
        <v>41</v>
      </c>
    </row>
    <row r="27" spans="1:26" x14ac:dyDescent="0.25">
      <c r="A27" s="1" t="s">
        <v>26</v>
      </c>
      <c r="B27">
        <v>32</v>
      </c>
      <c r="C27" s="1" t="s">
        <v>27</v>
      </c>
      <c r="D27" s="1" t="s">
        <v>28</v>
      </c>
      <c r="E27">
        <v>3</v>
      </c>
      <c r="F27">
        <v>4</v>
      </c>
      <c r="G27">
        <v>7</v>
      </c>
      <c r="H27">
        <v>5</v>
      </c>
      <c r="I27">
        <v>1</v>
      </c>
      <c r="J27">
        <v>2</v>
      </c>
      <c r="K27">
        <v>6</v>
      </c>
      <c r="L27" s="1" t="s">
        <v>28</v>
      </c>
      <c r="M27" s="1" t="s">
        <v>69</v>
      </c>
      <c r="N27" s="1" t="s">
        <v>72</v>
      </c>
      <c r="O27" s="1" t="s">
        <v>31</v>
      </c>
      <c r="P27" s="1" t="s">
        <v>54</v>
      </c>
      <c r="Q27" t="s">
        <v>55</v>
      </c>
      <c r="R27" s="1" t="s">
        <v>34</v>
      </c>
      <c r="S27" s="1" t="s">
        <v>35</v>
      </c>
      <c r="T27" s="1" t="s">
        <v>36</v>
      </c>
      <c r="U27" s="1" t="s">
        <v>37</v>
      </c>
      <c r="V27" s="1" t="s">
        <v>30</v>
      </c>
      <c r="W27" s="1" t="s">
        <v>38</v>
      </c>
      <c r="X27" s="1" t="s">
        <v>59</v>
      </c>
      <c r="Y27" s="1" t="s">
        <v>40</v>
      </c>
      <c r="Z27" s="1" t="s">
        <v>51</v>
      </c>
    </row>
    <row r="28" spans="1:26" x14ac:dyDescent="0.25">
      <c r="A28" s="1" t="s">
        <v>52</v>
      </c>
      <c r="B28">
        <v>26</v>
      </c>
      <c r="C28" s="1" t="s">
        <v>53</v>
      </c>
      <c r="D28" s="1" t="s">
        <v>28</v>
      </c>
      <c r="E28">
        <v>3</v>
      </c>
      <c r="F28">
        <v>4</v>
      </c>
      <c r="G28">
        <v>6</v>
      </c>
      <c r="H28">
        <v>5</v>
      </c>
      <c r="I28">
        <v>1</v>
      </c>
      <c r="J28">
        <v>2</v>
      </c>
      <c r="K28">
        <v>7</v>
      </c>
      <c r="L28" s="1" t="s">
        <v>28</v>
      </c>
      <c r="M28" s="1" t="s">
        <v>29</v>
      </c>
      <c r="N28" s="1" t="s">
        <v>30</v>
      </c>
      <c r="O28" s="1" t="s">
        <v>31</v>
      </c>
      <c r="P28" s="1" t="s">
        <v>54</v>
      </c>
      <c r="Q28" t="s">
        <v>55</v>
      </c>
      <c r="R28" s="1" t="s">
        <v>34</v>
      </c>
      <c r="S28" s="1" t="s">
        <v>35</v>
      </c>
      <c r="T28" s="1" t="s">
        <v>36</v>
      </c>
      <c r="U28" s="1" t="s">
        <v>37</v>
      </c>
      <c r="V28" s="1" t="s">
        <v>49</v>
      </c>
      <c r="W28" s="1" t="s">
        <v>65</v>
      </c>
      <c r="X28" s="1" t="s">
        <v>59</v>
      </c>
      <c r="Y28" s="1" t="s">
        <v>40</v>
      </c>
      <c r="Z28" s="1" t="s">
        <v>51</v>
      </c>
    </row>
    <row r="29" spans="1:26" x14ac:dyDescent="0.25">
      <c r="A29" s="1" t="s">
        <v>52</v>
      </c>
      <c r="B29">
        <v>31</v>
      </c>
      <c r="C29" s="1" t="s">
        <v>27</v>
      </c>
      <c r="D29" s="1" t="s">
        <v>28</v>
      </c>
      <c r="E29">
        <v>2</v>
      </c>
      <c r="F29">
        <v>3</v>
      </c>
      <c r="G29">
        <v>7</v>
      </c>
      <c r="H29">
        <v>6</v>
      </c>
      <c r="I29">
        <v>4</v>
      </c>
      <c r="J29">
        <v>1</v>
      </c>
      <c r="K29">
        <v>5</v>
      </c>
      <c r="L29" s="1" t="s">
        <v>28</v>
      </c>
      <c r="M29" s="1" t="s">
        <v>69</v>
      </c>
      <c r="N29" s="1" t="s">
        <v>72</v>
      </c>
      <c r="O29" s="1" t="s">
        <v>73</v>
      </c>
      <c r="P29" s="1" t="s">
        <v>32</v>
      </c>
      <c r="Q29" t="s">
        <v>33</v>
      </c>
      <c r="R29" s="1" t="s">
        <v>34</v>
      </c>
      <c r="S29" s="1" t="s">
        <v>35</v>
      </c>
      <c r="T29" s="1" t="s">
        <v>74</v>
      </c>
      <c r="U29" s="1" t="s">
        <v>48</v>
      </c>
      <c r="V29" s="1" t="s">
        <v>30</v>
      </c>
      <c r="W29" s="1" t="s">
        <v>65</v>
      </c>
      <c r="X29" s="1" t="s">
        <v>39</v>
      </c>
      <c r="Y29" s="1" t="s">
        <v>40</v>
      </c>
      <c r="Z29" s="1" t="s">
        <v>60</v>
      </c>
    </row>
    <row r="30" spans="1:26" x14ac:dyDescent="0.25">
      <c r="A30" s="1" t="s">
        <v>52</v>
      </c>
      <c r="B30">
        <v>29</v>
      </c>
      <c r="C30" s="1" t="s">
        <v>53</v>
      </c>
      <c r="D30" s="1" t="s">
        <v>28</v>
      </c>
      <c r="E30">
        <v>2</v>
      </c>
      <c r="F30">
        <v>3</v>
      </c>
      <c r="G30">
        <v>6</v>
      </c>
      <c r="H30">
        <v>5</v>
      </c>
      <c r="I30">
        <v>1</v>
      </c>
      <c r="J30">
        <v>4</v>
      </c>
      <c r="K30">
        <v>7</v>
      </c>
      <c r="L30" s="1" t="s">
        <v>28</v>
      </c>
      <c r="M30" s="1" t="s">
        <v>29</v>
      </c>
      <c r="N30" s="1" t="s">
        <v>30</v>
      </c>
      <c r="O30" s="1" t="s">
        <v>31</v>
      </c>
      <c r="P30" s="1" t="s">
        <v>32</v>
      </c>
      <c r="Q30" t="s">
        <v>33</v>
      </c>
      <c r="R30" s="1" t="s">
        <v>34</v>
      </c>
      <c r="S30" s="1" t="s">
        <v>35</v>
      </c>
      <c r="T30" s="1" t="s">
        <v>57</v>
      </c>
      <c r="U30" s="1" t="s">
        <v>37</v>
      </c>
      <c r="V30" s="1" t="s">
        <v>30</v>
      </c>
      <c r="W30" s="1" t="s">
        <v>38</v>
      </c>
      <c r="X30" s="1" t="s">
        <v>59</v>
      </c>
      <c r="Y30" s="1" t="s">
        <v>68</v>
      </c>
      <c r="Z30" s="1" t="s">
        <v>60</v>
      </c>
    </row>
    <row r="31" spans="1:26" x14ac:dyDescent="0.25">
      <c r="A31" s="1" t="s">
        <v>26</v>
      </c>
      <c r="B31">
        <v>34</v>
      </c>
      <c r="C31" s="1" t="s">
        <v>27</v>
      </c>
      <c r="D31" s="1" t="s">
        <v>28</v>
      </c>
      <c r="E31">
        <v>5</v>
      </c>
      <c r="F31">
        <v>4</v>
      </c>
      <c r="G31">
        <v>3</v>
      </c>
      <c r="H31">
        <v>2</v>
      </c>
      <c r="I31">
        <v>7</v>
      </c>
      <c r="J31">
        <v>1</v>
      </c>
      <c r="K31">
        <v>6</v>
      </c>
      <c r="L31" s="1" t="s">
        <v>28</v>
      </c>
      <c r="M31" s="1" t="s">
        <v>29</v>
      </c>
      <c r="N31" s="1" t="s">
        <v>61</v>
      </c>
      <c r="O31" s="1" t="s">
        <v>29</v>
      </c>
      <c r="P31" s="1" t="s">
        <v>54</v>
      </c>
      <c r="Q31" t="s">
        <v>55</v>
      </c>
      <c r="R31" s="1" t="s">
        <v>34</v>
      </c>
      <c r="S31" s="1" t="s">
        <v>64</v>
      </c>
      <c r="T31" s="1" t="s">
        <v>36</v>
      </c>
      <c r="U31" s="1" t="s">
        <v>37</v>
      </c>
      <c r="V31" s="1" t="s">
        <v>30</v>
      </c>
      <c r="W31" s="1" t="s">
        <v>58</v>
      </c>
      <c r="X31" s="1" t="s">
        <v>39</v>
      </c>
      <c r="Y31" s="1" t="s">
        <v>40</v>
      </c>
      <c r="Z31" s="1" t="s">
        <v>41</v>
      </c>
    </row>
    <row r="32" spans="1:26" x14ac:dyDescent="0.25">
      <c r="A32" s="1" t="s">
        <v>52</v>
      </c>
      <c r="B32">
        <v>27</v>
      </c>
      <c r="C32" s="1" t="s">
        <v>53</v>
      </c>
      <c r="D32" s="1" t="s">
        <v>28</v>
      </c>
      <c r="E32">
        <v>4</v>
      </c>
      <c r="F32">
        <v>5</v>
      </c>
      <c r="G32">
        <v>1</v>
      </c>
      <c r="H32">
        <v>2</v>
      </c>
      <c r="I32">
        <v>7</v>
      </c>
      <c r="J32">
        <v>3</v>
      </c>
      <c r="K32">
        <v>6</v>
      </c>
      <c r="L32" s="1" t="s">
        <v>43</v>
      </c>
      <c r="M32" s="1" t="s">
        <v>29</v>
      </c>
      <c r="N32" s="1" t="s">
        <v>72</v>
      </c>
      <c r="O32" s="1" t="s">
        <v>31</v>
      </c>
      <c r="P32" s="1" t="s">
        <v>32</v>
      </c>
      <c r="Q32" t="s">
        <v>33</v>
      </c>
      <c r="R32" s="1" t="s">
        <v>34</v>
      </c>
      <c r="S32" s="1" t="s">
        <v>64</v>
      </c>
      <c r="T32" s="1" t="s">
        <v>36</v>
      </c>
      <c r="U32" s="1" t="s">
        <v>75</v>
      </c>
      <c r="V32" s="1" t="s">
        <v>30</v>
      </c>
      <c r="W32" s="1" t="s">
        <v>58</v>
      </c>
      <c r="X32" s="1" t="s">
        <v>39</v>
      </c>
      <c r="Y32" s="1" t="s">
        <v>40</v>
      </c>
      <c r="Z32" s="1" t="s">
        <v>60</v>
      </c>
    </row>
    <row r="33" spans="1:26" x14ac:dyDescent="0.25">
      <c r="A33" s="1" t="s">
        <v>26</v>
      </c>
      <c r="B33">
        <v>31</v>
      </c>
      <c r="C33" s="1" t="s">
        <v>27</v>
      </c>
      <c r="D33" s="1" t="s">
        <v>28</v>
      </c>
      <c r="E33">
        <v>2</v>
      </c>
      <c r="F33">
        <v>4</v>
      </c>
      <c r="G33">
        <v>7</v>
      </c>
      <c r="H33">
        <v>6</v>
      </c>
      <c r="I33">
        <v>3</v>
      </c>
      <c r="J33">
        <v>1</v>
      </c>
      <c r="K33">
        <v>5</v>
      </c>
      <c r="L33" s="1" t="s">
        <v>28</v>
      </c>
      <c r="M33" s="1" t="s">
        <v>29</v>
      </c>
      <c r="N33" s="1" t="s">
        <v>30</v>
      </c>
      <c r="O33" s="1" t="s">
        <v>31</v>
      </c>
      <c r="P33" s="1" t="s">
        <v>54</v>
      </c>
      <c r="Q33" t="s">
        <v>55</v>
      </c>
      <c r="R33" s="1" t="s">
        <v>34</v>
      </c>
      <c r="S33" s="1" t="s">
        <v>35</v>
      </c>
      <c r="T33" s="1" t="s">
        <v>74</v>
      </c>
      <c r="U33" s="1" t="s">
        <v>37</v>
      </c>
      <c r="V33" s="1" t="s">
        <v>30</v>
      </c>
      <c r="W33" s="1" t="s">
        <v>38</v>
      </c>
      <c r="X33" s="1" t="s">
        <v>59</v>
      </c>
      <c r="Y33" s="1" t="s">
        <v>40</v>
      </c>
      <c r="Z33" s="1" t="s">
        <v>51</v>
      </c>
    </row>
    <row r="34" spans="1:26" x14ac:dyDescent="0.25">
      <c r="A34" s="1" t="s">
        <v>52</v>
      </c>
      <c r="B34">
        <v>27</v>
      </c>
      <c r="C34" s="1" t="s">
        <v>53</v>
      </c>
      <c r="D34" s="1" t="s">
        <v>28</v>
      </c>
      <c r="E34">
        <v>2</v>
      </c>
      <c r="F34">
        <v>4</v>
      </c>
      <c r="G34">
        <v>7</v>
      </c>
      <c r="H34">
        <v>5</v>
      </c>
      <c r="I34">
        <v>1</v>
      </c>
      <c r="J34">
        <v>3</v>
      </c>
      <c r="K34">
        <v>6</v>
      </c>
      <c r="L34" s="1" t="s">
        <v>28</v>
      </c>
      <c r="M34" s="1" t="s">
        <v>29</v>
      </c>
      <c r="N34" s="1" t="s">
        <v>30</v>
      </c>
      <c r="O34" s="1" t="s">
        <v>31</v>
      </c>
      <c r="P34" s="1" t="s">
        <v>54</v>
      </c>
      <c r="Q34" t="s">
        <v>55</v>
      </c>
      <c r="R34" s="1" t="s">
        <v>34</v>
      </c>
      <c r="S34" s="1" t="s">
        <v>70</v>
      </c>
      <c r="T34" s="1" t="s">
        <v>57</v>
      </c>
      <c r="U34" s="1" t="s">
        <v>48</v>
      </c>
      <c r="V34" s="1" t="s">
        <v>30</v>
      </c>
      <c r="W34" s="1" t="s">
        <v>65</v>
      </c>
      <c r="X34" s="1" t="s">
        <v>59</v>
      </c>
      <c r="Y34" s="1" t="s">
        <v>40</v>
      </c>
      <c r="Z34" s="1" t="s">
        <v>41</v>
      </c>
    </row>
    <row r="35" spans="1:26" x14ac:dyDescent="0.25">
      <c r="A35" s="1" t="s">
        <v>52</v>
      </c>
      <c r="B35">
        <v>26</v>
      </c>
      <c r="C35" s="1" t="s">
        <v>53</v>
      </c>
      <c r="D35" s="1" t="s">
        <v>28</v>
      </c>
      <c r="E35">
        <v>2</v>
      </c>
      <c r="F35">
        <v>3</v>
      </c>
      <c r="G35">
        <v>6</v>
      </c>
      <c r="H35">
        <v>4</v>
      </c>
      <c r="I35">
        <v>1</v>
      </c>
      <c r="J35">
        <v>5</v>
      </c>
      <c r="K35">
        <v>7</v>
      </c>
      <c r="L35" s="1" t="s">
        <v>28</v>
      </c>
      <c r="M35" s="1" t="s">
        <v>29</v>
      </c>
      <c r="N35" s="1" t="s">
        <v>30</v>
      </c>
      <c r="O35" s="1" t="s">
        <v>29</v>
      </c>
      <c r="P35" s="1" t="s">
        <v>32</v>
      </c>
      <c r="Q35" t="s">
        <v>33</v>
      </c>
      <c r="R35" s="1" t="s">
        <v>34</v>
      </c>
      <c r="S35" s="1" t="s">
        <v>35</v>
      </c>
      <c r="T35" s="1" t="s">
        <v>74</v>
      </c>
      <c r="U35" s="1" t="s">
        <v>75</v>
      </c>
      <c r="V35" s="1" t="s">
        <v>49</v>
      </c>
      <c r="W35" s="1" t="s">
        <v>38</v>
      </c>
      <c r="X35" s="1" t="s">
        <v>39</v>
      </c>
      <c r="Y35" s="1" t="s">
        <v>68</v>
      </c>
      <c r="Z35" s="1" t="s">
        <v>41</v>
      </c>
    </row>
    <row r="36" spans="1:26" x14ac:dyDescent="0.25">
      <c r="A36" s="1" t="s">
        <v>52</v>
      </c>
      <c r="B36">
        <v>27</v>
      </c>
      <c r="C36" s="1" t="s">
        <v>53</v>
      </c>
      <c r="D36" s="1" t="s">
        <v>28</v>
      </c>
      <c r="E36">
        <v>2</v>
      </c>
      <c r="F36">
        <v>3</v>
      </c>
      <c r="G36">
        <v>6</v>
      </c>
      <c r="H36">
        <v>5</v>
      </c>
      <c r="I36">
        <v>4</v>
      </c>
      <c r="J36">
        <v>1</v>
      </c>
      <c r="K36">
        <v>7</v>
      </c>
      <c r="L36" s="1" t="s">
        <v>28</v>
      </c>
      <c r="M36" s="1" t="s">
        <v>29</v>
      </c>
      <c r="N36" s="1" t="s">
        <v>30</v>
      </c>
      <c r="O36" s="1" t="s">
        <v>31</v>
      </c>
      <c r="P36" s="1" t="s">
        <v>32</v>
      </c>
      <c r="Q36" t="s">
        <v>33</v>
      </c>
      <c r="R36" s="1" t="s">
        <v>47</v>
      </c>
      <c r="S36" s="1" t="s">
        <v>35</v>
      </c>
      <c r="T36" s="1" t="s">
        <v>36</v>
      </c>
      <c r="U36" s="1" t="s">
        <v>48</v>
      </c>
      <c r="V36" s="1" t="s">
        <v>30</v>
      </c>
      <c r="W36" s="1" t="s">
        <v>38</v>
      </c>
      <c r="X36" s="1" t="s">
        <v>39</v>
      </c>
      <c r="Y36" s="1" t="s">
        <v>40</v>
      </c>
      <c r="Z36" s="1" t="s">
        <v>51</v>
      </c>
    </row>
    <row r="37" spans="1:26" x14ac:dyDescent="0.25">
      <c r="A37" s="1" t="s">
        <v>52</v>
      </c>
      <c r="B37">
        <v>30</v>
      </c>
      <c r="C37" s="1" t="s">
        <v>53</v>
      </c>
      <c r="D37" s="1" t="s">
        <v>28</v>
      </c>
      <c r="E37">
        <v>1</v>
      </c>
      <c r="F37">
        <v>4</v>
      </c>
      <c r="G37">
        <v>6</v>
      </c>
      <c r="H37">
        <v>5</v>
      </c>
      <c r="I37">
        <v>3</v>
      </c>
      <c r="J37">
        <v>2</v>
      </c>
      <c r="K37">
        <v>7</v>
      </c>
      <c r="L37" s="1" t="s">
        <v>28</v>
      </c>
      <c r="M37" s="1" t="s">
        <v>69</v>
      </c>
      <c r="N37" s="1" t="s">
        <v>72</v>
      </c>
      <c r="O37" s="1" t="s">
        <v>31</v>
      </c>
      <c r="P37" s="1" t="s">
        <v>54</v>
      </c>
      <c r="Q37" t="s">
        <v>55</v>
      </c>
      <c r="R37" s="1" t="s">
        <v>34</v>
      </c>
      <c r="S37" s="1" t="s">
        <v>35</v>
      </c>
      <c r="T37" s="1" t="s">
        <v>74</v>
      </c>
      <c r="U37" s="1" t="s">
        <v>48</v>
      </c>
      <c r="V37" s="1" t="s">
        <v>30</v>
      </c>
      <c r="W37" s="1" t="s">
        <v>38</v>
      </c>
      <c r="X37" s="1" t="s">
        <v>59</v>
      </c>
      <c r="Y37" s="1" t="s">
        <v>40</v>
      </c>
      <c r="Z37" s="1" t="s">
        <v>51</v>
      </c>
    </row>
    <row r="38" spans="1:26" x14ac:dyDescent="0.25">
      <c r="A38" s="1" t="s">
        <v>52</v>
      </c>
      <c r="B38">
        <v>30</v>
      </c>
      <c r="C38" s="1" t="s">
        <v>53</v>
      </c>
      <c r="D38" s="1" t="s">
        <v>28</v>
      </c>
      <c r="E38">
        <v>2</v>
      </c>
      <c r="F38">
        <v>4</v>
      </c>
      <c r="G38">
        <v>7</v>
      </c>
      <c r="H38">
        <v>5</v>
      </c>
      <c r="I38">
        <v>1</v>
      </c>
      <c r="J38">
        <v>3</v>
      </c>
      <c r="K38">
        <v>6</v>
      </c>
      <c r="L38" s="1" t="s">
        <v>28</v>
      </c>
      <c r="M38" s="1" t="s">
        <v>29</v>
      </c>
      <c r="N38" s="1" t="s">
        <v>30</v>
      </c>
      <c r="O38" s="1" t="s">
        <v>31</v>
      </c>
      <c r="P38" s="1" t="s">
        <v>32</v>
      </c>
      <c r="Q38" t="s">
        <v>33</v>
      </c>
      <c r="R38" s="1" t="s">
        <v>34</v>
      </c>
      <c r="S38" s="1" t="s">
        <v>35</v>
      </c>
      <c r="T38" s="1" t="s">
        <v>57</v>
      </c>
      <c r="U38" s="1" t="s">
        <v>37</v>
      </c>
      <c r="V38" s="1" t="s">
        <v>30</v>
      </c>
      <c r="W38" s="1" t="s">
        <v>38</v>
      </c>
      <c r="X38" s="1" t="s">
        <v>59</v>
      </c>
      <c r="Y38" s="1" t="s">
        <v>68</v>
      </c>
      <c r="Z38" s="1" t="s">
        <v>41</v>
      </c>
    </row>
    <row r="39" spans="1:26" x14ac:dyDescent="0.25">
      <c r="A39" s="1" t="s">
        <v>52</v>
      </c>
      <c r="B39">
        <v>25</v>
      </c>
      <c r="C39" s="1" t="s">
        <v>42</v>
      </c>
      <c r="D39" s="1" t="s">
        <v>28</v>
      </c>
      <c r="E39">
        <v>5</v>
      </c>
      <c r="F39">
        <v>4</v>
      </c>
      <c r="G39">
        <v>7</v>
      </c>
      <c r="H39">
        <v>6</v>
      </c>
      <c r="I39">
        <v>1</v>
      </c>
      <c r="J39">
        <v>2</v>
      </c>
      <c r="K39">
        <v>3</v>
      </c>
      <c r="L39" s="1" t="s">
        <v>28</v>
      </c>
      <c r="M39" s="1" t="s">
        <v>69</v>
      </c>
      <c r="N39" s="1" t="s">
        <v>72</v>
      </c>
      <c r="O39" s="1" t="s">
        <v>73</v>
      </c>
      <c r="P39" s="1" t="s">
        <v>54</v>
      </c>
      <c r="Q39" t="s">
        <v>55</v>
      </c>
      <c r="R39" s="1" t="s">
        <v>34</v>
      </c>
      <c r="S39" s="1" t="s">
        <v>70</v>
      </c>
      <c r="T39" s="1" t="s">
        <v>76</v>
      </c>
      <c r="U39" s="1" t="s">
        <v>48</v>
      </c>
      <c r="V39" s="1" t="s">
        <v>30</v>
      </c>
      <c r="W39" s="1" t="s">
        <v>38</v>
      </c>
      <c r="X39" s="1" t="s">
        <v>39</v>
      </c>
      <c r="Y39" s="1" t="s">
        <v>40</v>
      </c>
      <c r="Z39" s="1" t="s">
        <v>51</v>
      </c>
    </row>
    <row r="40" spans="1:26" x14ac:dyDescent="0.25">
      <c r="A40" s="1" t="s">
        <v>52</v>
      </c>
      <c r="B40">
        <v>31</v>
      </c>
      <c r="C40" s="1" t="s">
        <v>27</v>
      </c>
      <c r="D40" s="1" t="s">
        <v>28</v>
      </c>
      <c r="E40">
        <v>2</v>
      </c>
      <c r="F40">
        <v>4</v>
      </c>
      <c r="G40">
        <v>7</v>
      </c>
      <c r="H40">
        <v>5</v>
      </c>
      <c r="I40">
        <v>3</v>
      </c>
      <c r="J40">
        <v>1</v>
      </c>
      <c r="K40">
        <v>6</v>
      </c>
      <c r="L40" s="1" t="s">
        <v>28</v>
      </c>
      <c r="M40" s="1" t="s">
        <v>69</v>
      </c>
      <c r="N40" s="1" t="s">
        <v>72</v>
      </c>
      <c r="O40" s="1" t="s">
        <v>31</v>
      </c>
      <c r="P40" s="1" t="s">
        <v>32</v>
      </c>
      <c r="Q40" t="s">
        <v>33</v>
      </c>
      <c r="R40" s="1" t="s">
        <v>47</v>
      </c>
      <c r="S40" s="1" t="s">
        <v>35</v>
      </c>
      <c r="T40" s="1" t="s">
        <v>57</v>
      </c>
      <c r="U40" s="1" t="s">
        <v>48</v>
      </c>
      <c r="V40" s="1" t="s">
        <v>49</v>
      </c>
      <c r="W40" s="1" t="s">
        <v>65</v>
      </c>
      <c r="X40" s="1" t="s">
        <v>59</v>
      </c>
      <c r="Y40" s="1" t="s">
        <v>40</v>
      </c>
      <c r="Z40" s="1" t="s">
        <v>41</v>
      </c>
    </row>
    <row r="41" spans="1:26" x14ac:dyDescent="0.25">
      <c r="A41" s="1" t="s">
        <v>52</v>
      </c>
      <c r="B41">
        <v>29</v>
      </c>
      <c r="C41" s="1" t="s">
        <v>53</v>
      </c>
      <c r="D41" s="1" t="s">
        <v>28</v>
      </c>
      <c r="E41">
        <v>4</v>
      </c>
      <c r="F41">
        <v>3</v>
      </c>
      <c r="G41">
        <v>5</v>
      </c>
      <c r="H41">
        <v>7</v>
      </c>
      <c r="I41">
        <v>2</v>
      </c>
      <c r="J41">
        <v>1</v>
      </c>
      <c r="K41">
        <v>6</v>
      </c>
      <c r="L41" s="1" t="s">
        <v>28</v>
      </c>
      <c r="M41" s="1" t="s">
        <v>29</v>
      </c>
      <c r="N41" s="1" t="s">
        <v>30</v>
      </c>
      <c r="O41" s="1" t="s">
        <v>31</v>
      </c>
      <c r="P41" s="1" t="s">
        <v>54</v>
      </c>
      <c r="Q41" t="s">
        <v>55</v>
      </c>
      <c r="R41" s="1" t="s">
        <v>34</v>
      </c>
      <c r="S41" s="1" t="s">
        <v>35</v>
      </c>
      <c r="T41" s="1" t="s">
        <v>74</v>
      </c>
      <c r="U41" s="1" t="s">
        <v>37</v>
      </c>
      <c r="V41" s="1" t="s">
        <v>49</v>
      </c>
      <c r="W41" s="1" t="s">
        <v>38</v>
      </c>
      <c r="X41" s="1" t="s">
        <v>39</v>
      </c>
      <c r="Y41" s="1" t="s">
        <v>40</v>
      </c>
      <c r="Z41" s="1" t="s">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910F-CF03-4040-B383-D3017F3227A6}">
  <dimension ref="A2:N33"/>
  <sheetViews>
    <sheetView workbookViewId="0"/>
  </sheetViews>
  <sheetFormatPr defaultRowHeight="15" x14ac:dyDescent="0.25"/>
  <cols>
    <col min="1" max="1" width="20.42578125" bestFit="1" customWidth="1"/>
    <col min="2" max="2" width="16.85546875" bestFit="1" customWidth="1"/>
    <col min="3" max="3" width="5.28515625" bestFit="1" customWidth="1"/>
    <col min="4" max="4" width="12" bestFit="1" customWidth="1"/>
    <col min="5" max="5" width="10.5703125" bestFit="1" customWidth="1"/>
    <col min="6" max="6" width="16.28515625" bestFit="1" customWidth="1"/>
    <col min="7" max="7" width="18.7109375" bestFit="1" customWidth="1"/>
    <col min="8" max="8" width="14.140625" bestFit="1" customWidth="1"/>
    <col min="9" max="9" width="26" bestFit="1" customWidth="1"/>
    <col min="10" max="10" width="12" bestFit="1" customWidth="1"/>
    <col min="11" max="11" width="22" bestFit="1" customWidth="1"/>
    <col min="12" max="12" width="16.85546875" bestFit="1" customWidth="1"/>
    <col min="13" max="13" width="21.7109375" bestFit="1" customWidth="1"/>
    <col min="14" max="14" width="22.42578125" bestFit="1" customWidth="1"/>
    <col min="15" max="15" width="20.28515625" bestFit="1" customWidth="1"/>
    <col min="16" max="16" width="23.5703125" bestFit="1" customWidth="1"/>
    <col min="17" max="17" width="4.85546875" bestFit="1" customWidth="1"/>
    <col min="18" max="18" width="26.7109375" bestFit="1" customWidth="1"/>
    <col min="19" max="19" width="24.28515625" bestFit="1" customWidth="1"/>
    <col min="20" max="20" width="4.85546875" bestFit="1" customWidth="1"/>
    <col min="21" max="21" width="27.42578125" bestFit="1" customWidth="1"/>
  </cols>
  <sheetData>
    <row r="2" spans="1:14" x14ac:dyDescent="0.25">
      <c r="A2" s="2" t="s">
        <v>80</v>
      </c>
      <c r="D2" s="2" t="s">
        <v>82</v>
      </c>
      <c r="E2" s="2"/>
      <c r="G2" s="2" t="s">
        <v>6</v>
      </c>
      <c r="I2" s="2" t="s">
        <v>85</v>
      </c>
      <c r="K2" s="2" t="s">
        <v>74</v>
      </c>
    </row>
    <row r="3" spans="1:14" x14ac:dyDescent="0.25">
      <c r="A3" t="s">
        <v>79</v>
      </c>
      <c r="D3" t="s">
        <v>81</v>
      </c>
      <c r="G3" t="s">
        <v>83</v>
      </c>
      <c r="I3" t="s">
        <v>84</v>
      </c>
      <c r="K3" t="s">
        <v>86</v>
      </c>
    </row>
    <row r="4" spans="1:14" x14ac:dyDescent="0.25">
      <c r="A4" s="3">
        <v>102</v>
      </c>
      <c r="D4" s="11">
        <v>139</v>
      </c>
      <c r="G4" s="3">
        <v>230</v>
      </c>
      <c r="I4" s="3">
        <v>186</v>
      </c>
      <c r="K4" s="3">
        <v>143</v>
      </c>
    </row>
    <row r="6" spans="1:14" x14ac:dyDescent="0.25">
      <c r="A6" s="2" t="s">
        <v>9</v>
      </c>
      <c r="D6" s="2" t="s">
        <v>10</v>
      </c>
      <c r="F6" s="2" t="s">
        <v>91</v>
      </c>
      <c r="H6" s="2" t="s">
        <v>99</v>
      </c>
    </row>
    <row r="7" spans="1:14" x14ac:dyDescent="0.25">
      <c r="A7" t="s">
        <v>87</v>
      </c>
      <c r="D7" t="s">
        <v>88</v>
      </c>
      <c r="F7" t="s">
        <v>97</v>
      </c>
      <c r="H7" t="s">
        <v>98</v>
      </c>
    </row>
    <row r="8" spans="1:14" x14ac:dyDescent="0.25">
      <c r="A8" s="3">
        <v>81</v>
      </c>
      <c r="D8" s="9">
        <v>239</v>
      </c>
      <c r="F8" s="1">
        <v>40</v>
      </c>
      <c r="H8" s="7">
        <v>27.8</v>
      </c>
      <c r="K8" s="12">
        <f ca="1">TODAY()</f>
        <v>46030</v>
      </c>
    </row>
    <row r="14" spans="1:14" x14ac:dyDescent="0.25">
      <c r="A14" s="2" t="s">
        <v>92</v>
      </c>
      <c r="F14" s="2" t="s">
        <v>93</v>
      </c>
      <c r="K14" s="2" t="s">
        <v>94</v>
      </c>
      <c r="L14" s="2"/>
    </row>
    <row r="15" spans="1:14" x14ac:dyDescent="0.25">
      <c r="A15" s="4" t="s">
        <v>90</v>
      </c>
      <c r="B15" s="4" t="s">
        <v>89</v>
      </c>
      <c r="C15" s="1"/>
      <c r="F15" s="4" t="s">
        <v>77</v>
      </c>
      <c r="G15" s="1" t="s">
        <v>78</v>
      </c>
      <c r="K15" s="4" t="s">
        <v>78</v>
      </c>
      <c r="L15" s="4" t="s">
        <v>89</v>
      </c>
      <c r="M15" s="1"/>
      <c r="N15" s="1"/>
    </row>
    <row r="16" spans="1:14" x14ac:dyDescent="0.25">
      <c r="A16" s="4" t="s">
        <v>77</v>
      </c>
      <c r="B16" s="1" t="s">
        <v>26</v>
      </c>
      <c r="C16" s="1" t="s">
        <v>52</v>
      </c>
      <c r="F16" s="5" t="s">
        <v>42</v>
      </c>
      <c r="G16" s="6">
        <v>0.25</v>
      </c>
      <c r="K16" s="4" t="s">
        <v>77</v>
      </c>
      <c r="L16" s="1" t="s">
        <v>42</v>
      </c>
      <c r="M16" s="1" t="s">
        <v>53</v>
      </c>
      <c r="N16" s="1" t="s">
        <v>27</v>
      </c>
    </row>
    <row r="17" spans="1:14" x14ac:dyDescent="0.25">
      <c r="A17" s="5" t="s">
        <v>36</v>
      </c>
      <c r="B17" s="1">
        <v>8</v>
      </c>
      <c r="C17" s="1">
        <v>10</v>
      </c>
      <c r="F17" s="5" t="s">
        <v>53</v>
      </c>
      <c r="G17" s="6">
        <v>0.52500000000000002</v>
      </c>
      <c r="K17" s="5" t="s">
        <v>29</v>
      </c>
      <c r="L17" s="1">
        <v>4</v>
      </c>
      <c r="M17" s="1">
        <v>16</v>
      </c>
      <c r="N17" s="1">
        <v>5</v>
      </c>
    </row>
    <row r="18" spans="1:14" x14ac:dyDescent="0.25">
      <c r="A18" s="5" t="s">
        <v>57</v>
      </c>
      <c r="B18" s="1">
        <v>3</v>
      </c>
      <c r="C18" s="1">
        <v>7</v>
      </c>
      <c r="F18" s="5" t="s">
        <v>27</v>
      </c>
      <c r="G18" s="6">
        <v>0.22500000000000001</v>
      </c>
      <c r="K18" s="5" t="s">
        <v>69</v>
      </c>
      <c r="L18" s="1">
        <v>5</v>
      </c>
      <c r="M18" s="1">
        <v>5</v>
      </c>
      <c r="N18" s="1">
        <v>4</v>
      </c>
    </row>
    <row r="19" spans="1:14" x14ac:dyDescent="0.25">
      <c r="A19" s="5" t="s">
        <v>74</v>
      </c>
      <c r="B19" s="1">
        <v>3</v>
      </c>
      <c r="C19" s="1">
        <v>6</v>
      </c>
      <c r="K19" s="5" t="s">
        <v>44</v>
      </c>
      <c r="L19" s="1">
        <v>1</v>
      </c>
      <c r="M19" s="1"/>
      <c r="N19" s="1"/>
    </row>
    <row r="20" spans="1:14" x14ac:dyDescent="0.25">
      <c r="A20" s="5" t="s">
        <v>76</v>
      </c>
      <c r="B20" s="1">
        <v>1</v>
      </c>
      <c r="C20" s="1">
        <v>2</v>
      </c>
    </row>
    <row r="24" spans="1:14" x14ac:dyDescent="0.25">
      <c r="A24" s="2" t="s">
        <v>95</v>
      </c>
      <c r="B24" s="2"/>
      <c r="G24" s="2" t="s">
        <v>96</v>
      </c>
      <c r="H24" s="2"/>
    </row>
    <row r="25" spans="1:14" x14ac:dyDescent="0.25">
      <c r="A25" s="4" t="s">
        <v>78</v>
      </c>
      <c r="B25" s="4" t="s">
        <v>89</v>
      </c>
      <c r="C25" s="1"/>
      <c r="D25" s="1"/>
      <c r="G25" s="4" t="s">
        <v>78</v>
      </c>
      <c r="H25" s="4" t="s">
        <v>89</v>
      </c>
      <c r="I25" s="1"/>
      <c r="J25" s="1"/>
    </row>
    <row r="26" spans="1:14" x14ac:dyDescent="0.25">
      <c r="A26" s="4" t="s">
        <v>77</v>
      </c>
      <c r="B26" s="1" t="s">
        <v>30</v>
      </c>
      <c r="C26" s="1" t="s">
        <v>72</v>
      </c>
      <c r="D26" s="1" t="s">
        <v>61</v>
      </c>
      <c r="G26" s="4" t="s">
        <v>77</v>
      </c>
      <c r="H26" s="1" t="s">
        <v>38</v>
      </c>
      <c r="I26" s="1" t="s">
        <v>65</v>
      </c>
      <c r="J26" s="1" t="s">
        <v>58</v>
      </c>
    </row>
    <row r="27" spans="1:14" x14ac:dyDescent="0.25">
      <c r="A27" s="5" t="s">
        <v>55</v>
      </c>
      <c r="B27" s="1">
        <v>12</v>
      </c>
      <c r="C27" s="1">
        <v>6</v>
      </c>
      <c r="D27" s="1">
        <v>1</v>
      </c>
      <c r="G27" s="5" t="s">
        <v>70</v>
      </c>
      <c r="H27" s="1">
        <v>2</v>
      </c>
      <c r="I27" s="1">
        <v>3</v>
      </c>
      <c r="J27" s="1"/>
    </row>
    <row r="28" spans="1:14" x14ac:dyDescent="0.25">
      <c r="A28" s="5" t="s">
        <v>33</v>
      </c>
      <c r="B28" s="1">
        <v>13</v>
      </c>
      <c r="C28" s="1">
        <v>5</v>
      </c>
      <c r="D28" s="1"/>
      <c r="G28" s="5" t="s">
        <v>35</v>
      </c>
      <c r="H28" s="1">
        <v>22</v>
      </c>
      <c r="I28" s="1">
        <v>9</v>
      </c>
      <c r="J28" s="1">
        <v>1</v>
      </c>
    </row>
    <row r="29" spans="1:14" x14ac:dyDescent="0.25">
      <c r="A29" s="5" t="s">
        <v>63</v>
      </c>
      <c r="B29" s="1"/>
      <c r="C29" s="1"/>
      <c r="D29" s="1">
        <v>2</v>
      </c>
      <c r="G29" s="5" t="s">
        <v>64</v>
      </c>
      <c r="H29" s="1"/>
      <c r="I29" s="1">
        <v>1</v>
      </c>
      <c r="J29" s="1">
        <v>2</v>
      </c>
    </row>
    <row r="30" spans="1:14" x14ac:dyDescent="0.25">
      <c r="A30" s="5" t="s">
        <v>46</v>
      </c>
      <c r="B30" s="1">
        <v>1</v>
      </c>
      <c r="C30" s="1"/>
      <c r="D30" s="1"/>
    </row>
    <row r="33" spans="12:12" x14ac:dyDescent="0.25">
      <c r="L33" s="8"/>
    </row>
  </sheetData>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2E52-225C-492A-A443-BDA28B22CE1A}">
  <dimension ref="A1"/>
  <sheetViews>
    <sheetView showGridLines="0" tabSelected="1" zoomScale="83" zoomScaleNormal="89" workbookViewId="0">
      <selection activeCell="AB14" sqref="AB14"/>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757F77-D24B-4D29-ACCA-D23950D184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Investment Preference Data</vt:lpstr>
      <vt:lpstr>Calculation</vt:lpstr>
      <vt:lpstr>Visual</vt:lpstr>
      <vt:lpstr>Age</vt:lpstr>
      <vt:lpstr>Bonds</vt:lpstr>
      <vt:lpstr>Day</vt:lpstr>
      <vt:lpstr>Debentures</vt:lpstr>
      <vt:lpstr>EM</vt:lpstr>
      <vt:lpstr>Fd</vt:lpstr>
      <vt:lpstr>gold</vt:lpstr>
      <vt:lpstr>investors</vt:lpstr>
      <vt:lpstr>MF</vt:lpstr>
      <vt:lpstr>PPF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Lekan Ilesanmi</dc:creator>
  <cp:lastModifiedBy>Lekan Ilesanmi</cp:lastModifiedBy>
  <dcterms:created xsi:type="dcterms:W3CDTF">2026-01-05T08:10:06Z</dcterms:created>
  <dcterms:modified xsi:type="dcterms:W3CDTF">2026-01-08T16:08:48Z</dcterms:modified>
</cp:coreProperties>
</file>